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MATRIX\down\"/>
    </mc:Choice>
  </mc:AlternateContent>
  <xr:revisionPtr revIDLastSave="0" documentId="8_{1E64F74D-76A9-44C9-BE47-B36A3B989B6D}" xr6:coauthVersionLast="36" xr6:coauthVersionMax="36" xr10:uidLastSave="{00000000-0000-0000-0000-000000000000}"/>
  <bookViews>
    <workbookView xWindow="38280" yWindow="-120" windowWidth="27870" windowHeight="16440" xr2:uid="{00000000-000D-0000-FFFF-FFFF00000000}"/>
  </bookViews>
  <sheets>
    <sheet name="V1" sheetId="2" r:id="rId1"/>
    <sheet name="D1" sheetId="3" r:id="rId2"/>
    <sheet name="P1" sheetId="4" r:id="rId3"/>
    <sheet name="MX-GRID 사용 안내" sheetId="5" r:id="rId4"/>
  </sheets>
  <definedNames>
    <definedName name="_AUTO_SIZE_">'V1'!$J$4</definedName>
    <definedName name="_xlnm._FilterDatabase" localSheetId="1" hidden="1">'D1'!$A$1:$H$1</definedName>
    <definedName name="_IGNORE_SHEET_">'MX-GRID 사용 안내'!$B$19</definedName>
    <definedName name="VS_ORD_STS">'P1'!$C$8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2" l="1"/>
  <c r="C25" i="2"/>
  <c r="D25" i="2"/>
  <c r="E25" i="2"/>
  <c r="F25" i="2"/>
  <c r="G25" i="2"/>
  <c r="H25" i="2"/>
  <c r="I25" i="2"/>
  <c r="B26" i="2"/>
  <c r="C26" i="2"/>
  <c r="D26" i="2"/>
  <c r="E26" i="2"/>
  <c r="F26" i="2"/>
  <c r="G26" i="2"/>
  <c r="H26" i="2"/>
  <c r="I26" i="2"/>
  <c r="B27" i="2"/>
  <c r="C27" i="2"/>
  <c r="D27" i="2"/>
  <c r="E27" i="2"/>
  <c r="F27" i="2"/>
  <c r="G27" i="2"/>
  <c r="H27" i="2"/>
  <c r="I27" i="2"/>
  <c r="B19" i="2"/>
  <c r="C19" i="2"/>
  <c r="D19" i="2"/>
  <c r="E19" i="2"/>
  <c r="F19" i="2"/>
  <c r="G19" i="2"/>
  <c r="H19" i="2"/>
  <c r="I19" i="2"/>
  <c r="B20" i="2"/>
  <c r="C20" i="2"/>
  <c r="D20" i="2"/>
  <c r="E20" i="2"/>
  <c r="F20" i="2"/>
  <c r="G20" i="2"/>
  <c r="H20" i="2"/>
  <c r="I20" i="2"/>
  <c r="B21" i="2"/>
  <c r="C21" i="2"/>
  <c r="D21" i="2"/>
  <c r="E21" i="2"/>
  <c r="F21" i="2"/>
  <c r="G21" i="2"/>
  <c r="H21" i="2"/>
  <c r="I21" i="2"/>
  <c r="B22" i="2"/>
  <c r="C22" i="2"/>
  <c r="D22" i="2"/>
  <c r="E22" i="2"/>
  <c r="F22" i="2"/>
  <c r="G22" i="2"/>
  <c r="H22" i="2"/>
  <c r="I22" i="2"/>
  <c r="B23" i="2"/>
  <c r="C23" i="2"/>
  <c r="D23" i="2"/>
  <c r="E23" i="2"/>
  <c r="F23" i="2"/>
  <c r="G23" i="2"/>
  <c r="H23" i="2"/>
  <c r="I23" i="2"/>
  <c r="B24" i="2"/>
  <c r="C24" i="2"/>
  <c r="D24" i="2"/>
  <c r="E24" i="2"/>
  <c r="F24" i="2"/>
  <c r="G24" i="2"/>
  <c r="H24" i="2"/>
  <c r="I24" i="2"/>
  <c r="B15" i="2"/>
  <c r="C15" i="2"/>
  <c r="D15" i="2"/>
  <c r="E15" i="2"/>
  <c r="F15" i="2"/>
  <c r="G15" i="2"/>
  <c r="H15" i="2"/>
  <c r="I15" i="2"/>
  <c r="B16" i="2"/>
  <c r="C16" i="2"/>
  <c r="D16" i="2"/>
  <c r="E16" i="2"/>
  <c r="F16" i="2"/>
  <c r="G16" i="2"/>
  <c r="H16" i="2"/>
  <c r="I16" i="2"/>
  <c r="B17" i="2"/>
  <c r="C17" i="2"/>
  <c r="D17" i="2"/>
  <c r="E17" i="2"/>
  <c r="F17" i="2"/>
  <c r="G17" i="2"/>
  <c r="H17" i="2"/>
  <c r="I17" i="2"/>
  <c r="B18" i="2"/>
  <c r="C18" i="2"/>
  <c r="D18" i="2"/>
  <c r="E18" i="2"/>
  <c r="F18" i="2"/>
  <c r="G18" i="2"/>
  <c r="H18" i="2"/>
  <c r="I18" i="2"/>
  <c r="B6" i="2" l="1"/>
  <c r="C6" i="2"/>
  <c r="D6" i="2"/>
  <c r="E6" i="2"/>
  <c r="F6" i="2"/>
  <c r="G6" i="2"/>
  <c r="H6" i="2"/>
  <c r="I6" i="2"/>
  <c r="B7" i="2"/>
  <c r="C7" i="2"/>
  <c r="D7" i="2"/>
  <c r="E7" i="2"/>
  <c r="F7" i="2"/>
  <c r="G7" i="2"/>
  <c r="H7" i="2"/>
  <c r="I7" i="2"/>
  <c r="B8" i="2"/>
  <c r="C8" i="2"/>
  <c r="D8" i="2"/>
  <c r="E8" i="2"/>
  <c r="F8" i="2"/>
  <c r="G8" i="2"/>
  <c r="H8" i="2"/>
  <c r="I8" i="2"/>
  <c r="B9" i="2"/>
  <c r="C9" i="2"/>
  <c r="D9" i="2"/>
  <c r="E9" i="2"/>
  <c r="F9" i="2"/>
  <c r="G9" i="2"/>
  <c r="H9" i="2"/>
  <c r="I9" i="2"/>
  <c r="B10" i="2"/>
  <c r="C10" i="2"/>
  <c r="D10" i="2"/>
  <c r="E10" i="2"/>
  <c r="F10" i="2"/>
  <c r="G10" i="2"/>
  <c r="H10" i="2"/>
  <c r="I10" i="2"/>
  <c r="B11" i="2"/>
  <c r="C11" i="2"/>
  <c r="D11" i="2"/>
  <c r="E11" i="2"/>
  <c r="F11" i="2"/>
  <c r="G11" i="2"/>
  <c r="H11" i="2"/>
  <c r="I11" i="2"/>
  <c r="B12" i="2"/>
  <c r="C12" i="2"/>
  <c r="D12" i="2"/>
  <c r="E12" i="2"/>
  <c r="F12" i="2"/>
  <c r="G12" i="2"/>
  <c r="H12" i="2"/>
  <c r="I12" i="2"/>
  <c r="B13" i="2"/>
  <c r="C13" i="2"/>
  <c r="D13" i="2"/>
  <c r="E13" i="2"/>
  <c r="F13" i="2"/>
  <c r="G13" i="2"/>
  <c r="H13" i="2"/>
  <c r="I13" i="2"/>
  <c r="B14" i="2"/>
  <c r="C14" i="2"/>
  <c r="D14" i="2"/>
  <c r="E14" i="2"/>
  <c r="F14" i="2"/>
  <c r="G14" i="2"/>
  <c r="H14" i="2"/>
  <c r="I14" i="2"/>
  <c r="C5" i="2"/>
  <c r="D5" i="2"/>
  <c r="E5" i="2"/>
  <c r="F5" i="2"/>
  <c r="G5" i="2"/>
  <c r="H5" i="2"/>
  <c r="I5" i="2"/>
  <c r="B5" i="2"/>
</calcChain>
</file>

<file path=xl/sharedStrings.xml><?xml version="1.0" encoding="utf-8"?>
<sst xmlns="http://schemas.openxmlformats.org/spreadsheetml/2006/main" count="194" uniqueCount="160">
  <si>
    <t xml:space="preserve"> ▣ 변수 목록</t>
    <phoneticPr fontId="0" type="noConversion"/>
  </si>
  <si>
    <t>이름</t>
    <phoneticPr fontId="0" type="noConversion"/>
  </si>
  <si>
    <t>이름정의
(변수값)</t>
    <phoneticPr fontId="0" type="noConversion"/>
  </si>
  <si>
    <t>초기값</t>
    <phoneticPr fontId="0" type="noConversion"/>
  </si>
  <si>
    <t>설명</t>
    <phoneticPr fontId="0" type="noConversion"/>
  </si>
  <si>
    <t>■ MX-GRID 예약어(이름 정의)</t>
  </si>
  <si>
    <t>작성일 : 2023년 06월 14일 수</t>
  </si>
  <si>
    <t>예약어</t>
  </si>
  <si>
    <t>동작</t>
  </si>
  <si>
    <t>비고</t>
  </si>
  <si>
    <t>지원 버전 (DataSet.maf)</t>
  </si>
  <si>
    <t>_AUTO_SIZE_??</t>
  </si>
  <si>
    <t>MX-GRID 크기에 따라 가변적으로 변경될 Column과 Row 영역을 지정합니다.</t>
  </si>
  <si>
    <t>_AUTO_SIZE_로 시작하는 영역 전부를 이름 정의로 인식합니다.
MX-GRID 의 크기가 변경될 경우, 지정된 영역의 크기를 조정합니다.
Column과 Row의 최소 크기는 MX-GRID 디자이너에서 저장한 값입니다.
MX-GRID의 크기가 증가할 때 셀의 크기를 자동으로 조정합니다.</t>
  </si>
  <si>
    <t>_RESIZE_AREA_??</t>
  </si>
  <si>
    <t>MX-GRID 에서 마우스로 크기를 조정할 영역을 지정합니다.</t>
  </si>
  <si>
    <t>범위에 해당하는 MX-GRID 내 셀의 크기를 마우스로 조정할 수 있습니다.</t>
  </si>
  <si>
    <t>_RESIZE_ROW_??</t>
  </si>
  <si>
    <t>MX-GRID 에서 마우스로 높이를 조정할 Row 영역을 지정합니다.</t>
  </si>
  <si>
    <t>MX-GRID 내 지정된 Row 영역의 높이를 마우스로 조정할 수 있습니다.</t>
  </si>
  <si>
    <t>_RESIZE_COLUMN_?</t>
  </si>
  <si>
    <t>MX-GRID 에서 마우스로 너비를 조정할 Column 영역을 지정합니다.</t>
  </si>
  <si>
    <t>MX-GRID 내 지정된 Column 영역의 너비를 마우스로 조정할 수 있습니다.</t>
  </si>
  <si>
    <t>_VIEW_RANGE_??</t>
  </si>
  <si>
    <t>출력 대상 시트에서 화면에 출력할 영역을 지정합니다.</t>
  </si>
  <si>
    <t>시트 상의 지정한 영역만 화면으로 출력합니다.</t>
  </si>
  <si>
    <t>_C_??</t>
  </si>
  <si>
    <t>지정한 컨트롤을 현재 셀의 위치에 배치합니다.</t>
  </si>
  <si>
    <t>"_C_" + "컨트롤 이름" 의 형식으로 이름 정의를 생성하면 i-AUD 보고서 내 이름이 동일한 컨트롤을 찾아 해당 셀의 위치에 배치합니다.
이때, 컨트롤 이름과 일치하는 내용을 찾지 못할 경우 Textbox를 생성합니다.
이 예약어는 컨트롤의 배치를 MX-GRID 로 제어하는 경우 혹은 입력 폼 생성을 위해 사용합니다.</t>
  </si>
  <si>
    <t>_D_??</t>
  </si>
  <si>
    <t>컨트롤 생성 규칙에서 헤더 영역을 제외하고 동일한 이름으로 지정할 경우 
(eg. _C_VS_CODE , _D_VS_CODE) 
i-AUD 에서 생성한 컨트롤의 데이터셋을 _D_? 로 지정한 영역의 셀 목록값으로 설정합니다.
보고서 Client Script 에서 MXGRID.getDataTable(name) 을 반환합니다.</t>
  </si>
  <si>
    <t>_PROTECT_</t>
  </si>
  <si>
    <t>예약어가 포함된 시트를 CRUD 대상으로 지정합니다.</t>
  </si>
  <si>
    <t>[시트 보호] 기능과 동일하게 동작합니다. 시트 내부에 예약어가 존재할 경우 편집 가능한 셀(셀-셀 서식-보호-잠금 해제)에 CRUD 기능이 적용됩니다.</t>
  </si>
  <si>
    <t>7.0.400.13</t>
  </si>
  <si>
    <t>_PROTECT2_</t>
  </si>
  <si>
    <t>[시트 보호] 기능과 동일하게 동작합니다. 시트 내부에 예약어가 존재할 경우 전체 셀에 CRUD 기능이 적용됩니다.</t>
  </si>
  <si>
    <t>CRUD_??</t>
  </si>
  <si>
    <t>CRUD 데이터 테이블의 시작 위치를 지정합니다.</t>
  </si>
  <si>
    <t>_EXPORT_SHEETS_</t>
  </si>
  <si>
    <t>지정한 시트를 Export 대상으로 설정합니다.</t>
  </si>
  <si>
    <t>Export 대상 시트명을 ","로 분리하여 입력할 경우, 화면 상의 조회 대상 시트와 내보내기 대상 시트를
구분합니다.</t>
  </si>
  <si>
    <t>7.0.400.65</t>
  </si>
  <si>
    <t>_IGNORE_SHEET_</t>
  </si>
  <si>
    <t>예약어가 포함된 시트를 Export 대상에서 제외합니다.</t>
  </si>
  <si>
    <t>내부에 예약어가 존재하는 시트를 실제 화면 표시, 내보내기, 연산 등의 작업에서 제외합니다.</t>
  </si>
  <si>
    <t>7.0.400.100</t>
  </si>
  <si>
    <t>■ MX-GRID 전용 함수(AUD_xxx)</t>
  </si>
  <si>
    <t>전용 함수</t>
  </si>
  <si>
    <t>AUD_HIDE_COLUMNS</t>
  </si>
  <si>
    <t>지정한 Column 영역을 숨깁니다.
범위를 설정하지 않을 경우 현재 Column을 숨깁니다.</t>
  </si>
  <si>
    <t>함수 원형 : AUD_HIDE_COLUMNS(condition As Boolean, [range As range]) As String
＊2022-07-06</t>
  </si>
  <si>
    <t>7.0.300.15</t>
  </si>
  <si>
    <t>AUD_HIDE_ROWS</t>
  </si>
  <si>
    <t>지정한 Row 영역을 숨김니다.
범위를 설정하지 않을 경우 현재 Row를 숨깁니다.</t>
  </si>
  <si>
    <t>함수 원형 : AUD_HIDE_ROWS(condition As Boolean, [range As range]) As String
＊2022-07-06</t>
  </si>
  <si>
    <t>AUD_IMAGE</t>
  </si>
  <si>
    <t>이미지를 셀에 출력합니다.
출력하고자 하는 이미지가 reports/WEB_IMAGES 하위 경로 또는 reports 하위 경로에 존재할 때는 이미지의 파일 명을 입력합니다.
엑셀 내 이미지를 참조할 때는 콜른(:)을 사용합니다. eg. AUD_IMAGE(":Image1")</t>
  </si>
  <si>
    <t>함수 원형 : AUD_IMAGE(imageName As Variant)
＊2022-07-06</t>
  </si>
  <si>
    <t>AUD_PROPERTY</t>
  </si>
  <si>
    <t>지정한 셀에 Client Script API로 접근 가능한 속성을 생성합니다.
해당 값에 접근하는 방법은 아래와 같습니다.
 var OniGridCellClick  = function(sender, args){
  if(args.Cell.getProperty(""ITEM1"")){ 
   var arrMsg = [];
  arrMsg.push(""ITEM 1 = "" +  args.Cell.getProperty(""ITEM1""));
  arrMsg.push(""ITEM 2 = "" +  args.Cell.getProperty(""ITEM2""));
  arrMsg.push(""ITEM 3 = "" +  args.Cell.getProperty(""ITEM3""));
  arrMsg.push(""ITEM 4 = "" +  args.Cell.getProperty(""ITEM4""));  
  alert(arrMsg.join(""\n""));
 }
 };"</t>
  </si>
  <si>
    <t>함수 원형 : AUD_PROPERTY(cellText As String, [propName1 As Variant], [propValue1 As Variant], [propName2 As Variant], [propValue2 As Variant])
* 2022-07-19</t>
  </si>
  <si>
    <t>AUD_TEMPLATE_BINDING</t>
  </si>
  <si>
    <t>지정한 영역을 데이터 바인딩 시의 템플릿으로 사용합니다.
이 함수를 사용한 셀의 Column/Row 값에 1을 더한 범위부터 템플릿화 된 데이터를 출력합니다.
   formulaRange : 데이터의 필드 명 또는 수식을 지정한 영역을 설정합니다.
   styleRange   :  스타일 영역, 셀의 스타일을 지정할 영역을 설정합니다.
   alternativeStyleRange : 반복행의 스타일 영역을 설정합니다.</t>
  </si>
  <si>
    <t>함수 원형 : AUD_TEMPLATE_BINDING(formulaRange As Variant, styleRange As Variant, [alternativeStyleRange As Variant])
* 2022-07-19</t>
  </si>
  <si>
    <t>AUD_CHECK_BOX</t>
  </si>
  <si>
    <t>지정한 셀에 CheckBox를 생성합니다. (MX-GRID 에서만 동작 합니다.)
  text           : CheckBox의 텍스트
  value         : CheckBox의 초기 값
  linkRanges : CheckBox의 값이 변경 시 업데이트 할 셀 
                   단일 셀 지정 시 셀의 값을 CheckBox의 값으로 업데이트 합니다.
                   영역 지정 시 영역 내 CheckBox의 상태를 
                   현재 CheckBox의 상태로 업데이트 합니다. (전체 선택 기능)
                   ststus가 기입되지 않으면 linkRanges 의 모든 값을 CheckBox의  
                   값과 비교하여 동일한 경우 선택 상태가 됩니다.
  status        : CheckBox의 선택 여부를 가져올 값 (0:false, 1:true, -1:mix)</t>
  </si>
  <si>
    <t>함수 원형 : AUD_CHECK_BOX(text As Variant, value As Variant, [linkCell As range], [status As Integer])
* 2022-07-19</t>
  </si>
  <si>
    <t>7.0.300.36</t>
  </si>
  <si>
    <t>AUD_RADIO_BUTTON</t>
  </si>
  <si>
    <t>지정한 셀에 RadioButton을 생성합니다. (MX-GRID 에서만 동작 합니다.)
 text       : RadioButton의 텍스트
 value     : RadioButton의 값
 linkCell  : RadioButton의 값이 변경될 경우 업데이트 할 셀
               해당 셀의 값이 현재 RadioButton의 값과 동일할 경우 체크합니다.</t>
  </si>
  <si>
    <t>함수 원형 : AUD_RADIO_BUTTON(text As Variant, value As Variant, [linkCell As range])
* 2022-07-19</t>
  </si>
  <si>
    <t>지정한 셀을 수정할 수 없도록 잠급니다.
 range1     : 잠금 대상 셀의 영역 또는 주소값
 range2..?  : 잠금 대상 셀의 영역 또는 주소값</t>
  </si>
  <si>
    <t>함수 원형 : AUD_PROTECT(range1 As Variant, [range2 As Variant], [range3 As Variant], [range4 As Variant]) As String
* 2023-02-08</t>
  </si>
  <si>
    <t>7.0.400.14</t>
  </si>
  <si>
    <t>AUD_PROTECT_INDIRECT</t>
  </si>
  <si>
    <t>지정한 셀을 수정할 수 없도록 잠급니다.
 range1    : 잠금 대상 셀의 주소값을 가지는 영역 또는 주소값
 range2..? : 잠금 대상 셀의 주소값을 가지는 영역 또는 주소값</t>
  </si>
  <si>
    <t>함수 원형 : AUD_PROTECT_INDIRECT(range1 As Variant, [range2 As Variant], [range3 As Variant], [range4 As Variant]) As String
* 2023-02-08</t>
  </si>
  <si>
    <t>AUD_EXPAND_ROW</t>
  </si>
  <si>
    <t>지정한 ROW 영역에 확장/축소 버튼을 생성합니다.
 isExpand : 확장 상태로 표시할지 여부
 range1   : 확장, 축소 대상 Row
 range2..?: 확장, 축소 대상 Row</t>
  </si>
  <si>
    <t>함수 원형 : AUD_EXPAND_ROW(isExpand As Boolean, range1 As Variant, [range2 As Variant], [range3 As Variant]) As String
* 2023-02-10</t>
  </si>
  <si>
    <t>AUD_EXPAND_COLUMN</t>
  </si>
  <si>
    <t>지정한 COLUMN 영역에 확장/축소 버튼을 생성합니다.
 isExpand : 확장 상태로 표시할지 여부
 range1   : 확장, 축소 대상 Column
 range2..?: 확장, 축소 대상 Column</t>
  </si>
  <si>
    <t>함수 원형 : AUD_EXPAND_COLUMN(isExpand As Boolean, range1 As Variant, [range2 As Variant], [range3 As Variant]) As String 
* 2023-02-10</t>
  </si>
  <si>
    <t>AUD_ISMODIFIED</t>
  </si>
  <si>
    <t>지정한 범위 내 셀의 수정 여부를 반환합니다.
 range1 ~ range?   : 수정 여부를 점검할 셀 범위 정보</t>
  </si>
  <si>
    <t>함수 원형 : AUD_ISMODIFIED(range1 As Variant, [range2 As Variant], [range3 As Variant], [range4 As Variant]) As String
* 2023-03-19</t>
  </si>
  <si>
    <t>7.0.400.24</t>
  </si>
  <si>
    <t>MX-GRID는 웹 환경 하에 다양한 동작을 제어하기 위해 엑셀의 이름 정의 규칙을 활용하고 있습니다.</t>
    <phoneticPr fontId="1" type="noConversion"/>
  </si>
  <si>
    <t>이름 규칙에 ??는 해당 이름으로 시작하는 모든 항목이 동일한 동작을 한다는 의미 입니다.</t>
    <phoneticPr fontId="1" type="noConversion"/>
  </si>
  <si>
    <t>MX-GRID는 AUD_xxx 시작하는 전용 함수를 제공하여 화면 상의 특정 기능을 제공합니다.</t>
    <phoneticPr fontId="1" type="noConversion"/>
  </si>
  <si>
    <t xml:space="preserve"> </t>
    <phoneticPr fontId="1" type="noConversion"/>
  </si>
  <si>
    <t>AUD_PROTECT</t>
    <phoneticPr fontId="1" type="noConversion"/>
  </si>
  <si>
    <t>작성일 : 2024년 02월 19일 월</t>
    <phoneticPr fontId="1" type="noConversion"/>
  </si>
  <si>
    <t>데이터 셋의 영역을 지정합니다.
해당 영역의 데이터는 MX-GRID 조회 시 Client로 전달 됩니다.</t>
    <phoneticPr fontId="1" type="noConversion"/>
  </si>
  <si>
    <t>_DS_??</t>
    <phoneticPr fontId="1" type="noConversion"/>
  </si>
  <si>
    <t>i-AUD 내 데이터소스를 시트에 출력합니다.</t>
    <phoneticPr fontId="1" type="noConversion"/>
  </si>
  <si>
    <t xml:space="preserve">i-AUD 보고서 내 저장된 데이터 소스를 실행하여 시트에 출력하며, 해당 데이터가 출력될 시작셀에 이름을 지정합니다.
(eg. _DS_Data1, _DS_Data2) </t>
    <phoneticPr fontId="1" type="noConversion"/>
  </si>
  <si>
    <t>7.0.500.37</t>
    <phoneticPr fontId="1" type="noConversion"/>
  </si>
  <si>
    <t>주문 번호</t>
    <phoneticPr fontId="1" type="noConversion"/>
  </si>
  <si>
    <t>고객 ID</t>
    <phoneticPr fontId="1" type="noConversion"/>
  </si>
  <si>
    <t>주문 상태</t>
    <phoneticPr fontId="1" type="noConversion"/>
  </si>
  <si>
    <t>주문 시각</t>
    <phoneticPr fontId="1" type="noConversion"/>
  </si>
  <si>
    <t>결제 승인 시각</t>
    <phoneticPr fontId="1" type="noConversion"/>
  </si>
  <si>
    <t>택배 출고 시각</t>
    <phoneticPr fontId="1" type="noConversion"/>
  </si>
  <si>
    <t>배송 완료 시각</t>
    <phoneticPr fontId="1" type="noConversion"/>
  </si>
  <si>
    <t>예상 배송 완료일</t>
    <phoneticPr fontId="1" type="noConversion"/>
  </si>
  <si>
    <t>1. 배송 정보</t>
    <phoneticPr fontId="1" type="noConversion"/>
  </si>
  <si>
    <t>VS_ORD_STS</t>
    <phoneticPr fontId="1" type="noConversion"/>
  </si>
  <si>
    <t>delivered</t>
    <phoneticPr fontId="1" type="noConversion"/>
  </si>
  <si>
    <t>order_id</t>
    <phoneticPr fontId="1" type="noConversion"/>
  </si>
  <si>
    <t>customer_id</t>
    <phoneticPr fontId="1" type="noConversion"/>
  </si>
  <si>
    <t>order_status</t>
    <phoneticPr fontId="1" type="noConversion"/>
  </si>
  <si>
    <t>order_purchase_timestamp</t>
    <phoneticPr fontId="1" type="noConversion"/>
  </si>
  <si>
    <t>order_approved_at</t>
    <phoneticPr fontId="1" type="noConversion"/>
  </si>
  <si>
    <t>order_delivered_carrier_date</t>
    <phoneticPr fontId="1" type="noConversion"/>
  </si>
  <si>
    <t>order_delivered_customer_date</t>
    <phoneticPr fontId="1" type="noConversion"/>
  </si>
  <si>
    <t>order_estimated_delivery_date</t>
    <phoneticPr fontId="1" type="noConversion"/>
  </si>
  <si>
    <t>e481f51cbdc54678b7cc49136f2d6af7</t>
  </si>
  <si>
    <t>9ef432eb6251297304e76186b10a928d</t>
  </si>
  <si>
    <t>delivered</t>
  </si>
  <si>
    <t>53cdb2fc8bc7dce0b6741e2150273451</t>
  </si>
  <si>
    <t>b0830fb4747a6c6d20dea0b8c802d7ef</t>
  </si>
  <si>
    <t>47770eb9100c2d0c44946d9cf07ec65d</t>
  </si>
  <si>
    <t>41ce2a54c0b03bf3443c3d931a367089</t>
  </si>
  <si>
    <t>949d5b44dbf5de918fe9c16f97b45f8a</t>
  </si>
  <si>
    <t>f88197465ea7920adcdbec7375364d82</t>
  </si>
  <si>
    <t>ad21c59c0840e6cb83a9ceb5573f8159</t>
  </si>
  <si>
    <t>8ab97904e6daea8866dbdbc4fb7aad2c</t>
  </si>
  <si>
    <t>a4591c265e18cb1dcee52889e2d8acc3</t>
  </si>
  <si>
    <t>503740e9ca751ccdda7ba28e9ab8f608</t>
  </si>
  <si>
    <t>6514b8ad8028c9f2cc2374ded245783f</t>
  </si>
  <si>
    <t>9bdf08b4b3b52b5526ff42d37d47f222</t>
  </si>
  <si>
    <t>76c6e866289321a7c93b82b54852dc33</t>
  </si>
  <si>
    <t>f54a9f0e6b351c431402b8461ea51999</t>
  </si>
  <si>
    <t>e69bfb5eb88e0ed6a785585b27e16dbf</t>
  </si>
  <si>
    <t>31ad1d1b63eb9962463f764d4e6e0c9d</t>
  </si>
  <si>
    <t>e6ce16cb79ec1d90b1da9085a6118aeb</t>
  </si>
  <si>
    <t>494dded5b201313c64ed7f100595b95c</t>
  </si>
  <si>
    <t>34513ce0c4fab462a55830c0989c7edb</t>
  </si>
  <si>
    <t>7711cf624183d843aafe81855097bc37</t>
  </si>
  <si>
    <t>82566a660a982b15fb86e904c8d32918</t>
  </si>
  <si>
    <t>d3e3b74c766bc6214e0c830b17ee2341</t>
  </si>
  <si>
    <t>5ff96c15d0b717ac6ad1f3d77225a350</t>
  </si>
  <si>
    <t>19402a48fe860416adf93348aba37740</t>
  </si>
  <si>
    <t>432aaf21d85167c2c86ec9448c4e42cc</t>
  </si>
  <si>
    <t>3df704f53d3f1d4818840b34ec672a9f</t>
  </si>
  <si>
    <t>dcb36b511fcac050b97cd5c05de84dc3</t>
  </si>
  <si>
    <t>3b6828a50ffe546942b7a473d70ac0fc</t>
  </si>
  <si>
    <t>403b97836b0c04a622354cf531062e5f</t>
  </si>
  <si>
    <t>738b086814c6fcc74b8cc583f8516ee3</t>
  </si>
  <si>
    <t>116f0b09343b49556bbad5f35bee0cdf</t>
  </si>
  <si>
    <t>3187789bec990987628d7a9beb4dd6ac</t>
  </si>
  <si>
    <t>85ce859fd6dc634de8d2f1e290444043</t>
  </si>
  <si>
    <t>059f7fc5719c7da6cbafe370971a8d70</t>
  </si>
  <si>
    <t>83018ec114eee8641c97e08f7b4e926f</t>
  </si>
  <si>
    <t>7f8c8b9c2ae27bf3300f670c3d478be8</t>
  </si>
  <si>
    <t>203096f03d82e0dffbc41ebc2e2bcfb7</t>
  </si>
  <si>
    <t>d2b091571da224a1b36412c18bc3bbfe</t>
  </si>
  <si>
    <t>비고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</si>
</sst>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 tint="0.3499862666707357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 tint="0.34998626667073579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E6EA"/>
        <bgColor indexed="64"/>
      </patternFill>
    </fill>
    <fill>
      <patternFill patternType="solid">
        <fgColor rgb="FFE9EEFF"/>
        <bgColor indexed="64"/>
      </patternFill>
    </fill>
    <fill>
      <patternFill patternType="solid">
        <fgColor rgb="FFF9F9FB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C2C2C5"/>
      </left>
      <right style="thin">
        <color rgb="FFC2C2C5"/>
      </right>
      <top style="thin">
        <color rgb="FFC2C2C5"/>
      </top>
      <bottom style="thin">
        <color rgb="FFC2C2C5"/>
      </bottom>
      <diagonal/>
    </border>
    <border>
      <left/>
      <right style="thin">
        <color rgb="FFC2C2C5"/>
      </right>
      <top/>
      <bottom/>
      <diagonal/>
    </border>
    <border>
      <left/>
      <right style="thin">
        <color rgb="FFC2C2C5"/>
      </right>
      <top style="thin">
        <color rgb="FFC2C2C5"/>
      </top>
      <bottom style="thin">
        <color rgb="FFC2C2C5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6" fillId="2" borderId="0" xfId="0" applyFont="1" applyFill="1" applyAlignment="1">
      <alignment horizontal="right" vertical="center"/>
    </xf>
    <xf numFmtId="0" fontId="7" fillId="2" borderId="8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>
      <alignment horizontal="left" vertical="center" wrapText="1" indent="1"/>
    </xf>
    <xf numFmtId="0" fontId="8" fillId="0" borderId="8" xfId="0" applyFont="1" applyBorder="1" applyAlignment="1">
      <alignment horizontal="left" vertical="center" wrapText="1" indent="1"/>
    </xf>
    <xf numFmtId="0" fontId="8" fillId="0" borderId="8" xfId="0" applyFont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 wrapText="1" indent="1"/>
    </xf>
    <xf numFmtId="0" fontId="8" fillId="4" borderId="8" xfId="0" applyFont="1" applyFill="1" applyBorder="1" applyAlignment="1">
      <alignment horizontal="left" vertical="center" wrapText="1" indent="1"/>
    </xf>
    <xf numFmtId="0" fontId="8" fillId="4" borderId="8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0" borderId="9" xfId="0" applyBorder="1">
      <alignment vertical="center"/>
    </xf>
    <xf numFmtId="0" fontId="9" fillId="3" borderId="10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 indent="1"/>
    </xf>
    <xf numFmtId="0" fontId="10" fillId="0" borderId="8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14" fontId="0" fillId="0" borderId="12" xfId="0" applyNumberFormat="1" applyFont="1" applyBorder="1" applyAlignment="1">
      <alignment horizontal="center" vertical="center"/>
    </xf>
    <xf numFmtId="14" fontId="0" fillId="0" borderId="13" xfId="0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7"/>
  <sheetViews>
    <sheetView showGridLines="0" tabSelected="1" zoomScaleNormal="100" workbookViewId="0">
      <selection activeCell="C37" sqref="C37"/>
    </sheetView>
  </sheetViews>
  <sheetFormatPr defaultRowHeight="16.5" x14ac:dyDescent="0.3"/>
  <cols>
    <col min="1" max="1" width="3.625" customWidth="1"/>
    <col min="2" max="3" width="40.625" customWidth="1"/>
    <col min="4" max="4" width="17.625" style="34" customWidth="1"/>
    <col min="5" max="9" width="15.625" customWidth="1"/>
    <col min="10" max="10" width="10.625" customWidth="1"/>
    <col min="11" max="11" width="3.625" customWidth="1"/>
    <col min="15" max="15" width="10.625" customWidth="1"/>
  </cols>
  <sheetData>
    <row r="2" spans="2:10" x14ac:dyDescent="0.3">
      <c r="B2" s="28" t="s">
        <v>107</v>
      </c>
    </row>
    <row r="3" spans="2:10" ht="8.1" customHeight="1" x14ac:dyDescent="0.3"/>
    <row r="4" spans="2:10" ht="23.1" customHeight="1" x14ac:dyDescent="0.3">
      <c r="B4" s="31" t="s">
        <v>99</v>
      </c>
      <c r="C4" s="32" t="s">
        <v>100</v>
      </c>
      <c r="D4" s="32" t="s">
        <v>101</v>
      </c>
      <c r="E4" s="32" t="s">
        <v>102</v>
      </c>
      <c r="F4" s="32" t="s">
        <v>103</v>
      </c>
      <c r="G4" s="32" t="s">
        <v>104</v>
      </c>
      <c r="H4" s="32" t="s">
        <v>105</v>
      </c>
      <c r="I4" s="33" t="s">
        <v>106</v>
      </c>
      <c r="J4" s="33" t="s">
        <v>159</v>
      </c>
    </row>
    <row r="5" spans="2:10" ht="21" customHeight="1" x14ac:dyDescent="0.3">
      <c r="B5" s="38" t="str">
        <f>IFERROR(IF('D1'!A2="", "", 'D1'!A2), "")</f>
        <v>e481f51cbdc54678b7cc49136f2d6af7</v>
      </c>
      <c r="C5" s="35" t="str">
        <f>IFERROR(IF('D1'!B2="", "", 'D1'!B2), "")</f>
        <v>9ef432eb6251297304e76186b10a928d</v>
      </c>
      <c r="D5" s="35" t="str">
        <f>IFERROR(IF('D1'!C2="", "", 'D1'!C2), "")</f>
        <v>delivered</v>
      </c>
      <c r="E5" s="36">
        <f>IFERROR(IF('D1'!D2="", "", 'D1'!D2), "")</f>
        <v>43010.455937500003</v>
      </c>
      <c r="F5" s="36">
        <f>IFERROR(IF('D1'!E2="", "", 'D1'!E2), "")</f>
        <v>43010.463368055556</v>
      </c>
      <c r="G5" s="36">
        <f>IFERROR(IF('D1'!F2="", "", 'D1'!F2), "")</f>
        <v>43012.829861111109</v>
      </c>
      <c r="H5" s="36">
        <f>IFERROR(IF('D1'!G2="", "", 'D1'!G2), "")</f>
        <v>43018.892511574071</v>
      </c>
      <c r="I5" s="37">
        <f>IFERROR(IF('D1'!H2="", "", 'D1'!H2), "")</f>
        <v>43026</v>
      </c>
      <c r="J5" s="39"/>
    </row>
    <row r="6" spans="2:10" ht="21" customHeight="1" x14ac:dyDescent="0.3">
      <c r="B6" s="38" t="str">
        <f>IFERROR(IF('D1'!A3="", "", 'D1'!A3), "")</f>
        <v>53cdb2fc8bc7dce0b6741e2150273451</v>
      </c>
      <c r="C6" s="35" t="str">
        <f>IFERROR(IF('D1'!B3="", "", 'D1'!B3), "")</f>
        <v>b0830fb4747a6c6d20dea0b8c802d7ef</v>
      </c>
      <c r="D6" s="35" t="str">
        <f>IFERROR(IF('D1'!C3="", "", 'D1'!C3), "")</f>
        <v>delivered</v>
      </c>
      <c r="E6" s="36">
        <f>IFERROR(IF('D1'!D3="", "", 'D1'!D3), "")</f>
        <v>43305.862233796295</v>
      </c>
      <c r="F6" s="36">
        <f>IFERROR(IF('D1'!E3="", "", 'D1'!E3), "")</f>
        <v>43307.141979166663</v>
      </c>
      <c r="G6" s="36">
        <f>IFERROR(IF('D1'!F3="", "", 'D1'!F3), "")</f>
        <v>43307.604861111111</v>
      </c>
      <c r="H6" s="36">
        <f>IFERROR(IF('D1'!G3="", "", 'D1'!G3), "")</f>
        <v>43319.644270833334</v>
      </c>
      <c r="I6" s="37">
        <f>IFERROR(IF('D1'!H3="", "", 'D1'!H3), "")</f>
        <v>43325</v>
      </c>
      <c r="J6" s="39"/>
    </row>
    <row r="7" spans="2:10" ht="21" customHeight="1" x14ac:dyDescent="0.3">
      <c r="B7" s="38" t="str">
        <f>IFERROR(IF('D1'!A4="", "", 'D1'!A4), "")</f>
        <v>47770eb9100c2d0c44946d9cf07ec65d</v>
      </c>
      <c r="C7" s="35" t="str">
        <f>IFERROR(IF('D1'!B4="", "", 'D1'!B4), "")</f>
        <v>41ce2a54c0b03bf3443c3d931a367089</v>
      </c>
      <c r="D7" s="35" t="str">
        <f>IFERROR(IF('D1'!C4="", "", 'D1'!C4), "")</f>
        <v>delivered</v>
      </c>
      <c r="E7" s="36">
        <f>IFERROR(IF('D1'!D4="", "", 'D1'!D4), "")</f>
        <v>43320.360289351855</v>
      </c>
      <c r="F7" s="36">
        <f>IFERROR(IF('D1'!E4="", "", 'D1'!E4), "")</f>
        <v>43320.371793981481</v>
      </c>
      <c r="G7" s="36">
        <f>IFERROR(IF('D1'!F4="", "", 'D1'!F4), "")</f>
        <v>43320.576388888891</v>
      </c>
      <c r="H7" s="36">
        <f>IFERROR(IF('D1'!G4="", "", 'D1'!G4), "")</f>
        <v>43329.754502314812</v>
      </c>
      <c r="I7" s="37">
        <f>IFERROR(IF('D1'!H4="", "", 'D1'!H4), "")</f>
        <v>43347</v>
      </c>
      <c r="J7" s="39"/>
    </row>
    <row r="8" spans="2:10" ht="21" customHeight="1" x14ac:dyDescent="0.3">
      <c r="B8" s="38" t="str">
        <f>IFERROR(IF('D1'!A5="", "", 'D1'!A5), "")</f>
        <v>949d5b44dbf5de918fe9c16f97b45f8a</v>
      </c>
      <c r="C8" s="35" t="str">
        <f>IFERROR(IF('D1'!B5="", "", 'D1'!B5), "")</f>
        <v>f88197465ea7920adcdbec7375364d82</v>
      </c>
      <c r="D8" s="35" t="str">
        <f>IFERROR(IF('D1'!C5="", "", 'D1'!C5), "")</f>
        <v>delivered</v>
      </c>
      <c r="E8" s="36">
        <f>IFERROR(IF('D1'!D5="", "", 'D1'!D5), "")</f>
        <v>43057.811180555553</v>
      </c>
      <c r="F8" s="36">
        <f>IFERROR(IF('D1'!E5="", "", 'D1'!E5), "")</f>
        <v>43057.823599537034</v>
      </c>
      <c r="G8" s="36">
        <f>IFERROR(IF('D1'!F5="", "", 'D1'!F5), "")</f>
        <v>43061.569432870368</v>
      </c>
      <c r="H8" s="36">
        <f>IFERROR(IF('D1'!G5="", "", 'D1'!G5), "")</f>
        <v>43071.019930555558</v>
      </c>
      <c r="I8" s="37">
        <f>IFERROR(IF('D1'!H5="", "", 'D1'!H5), "")</f>
        <v>43084</v>
      </c>
      <c r="J8" s="39"/>
    </row>
    <row r="9" spans="2:10" ht="21" customHeight="1" x14ac:dyDescent="0.3">
      <c r="B9" s="38" t="str">
        <f>IFERROR(IF('D1'!A6="", "", 'D1'!A6), "")</f>
        <v>ad21c59c0840e6cb83a9ceb5573f8159</v>
      </c>
      <c r="C9" s="35" t="str">
        <f>IFERROR(IF('D1'!B6="", "", 'D1'!B6), "")</f>
        <v>8ab97904e6daea8866dbdbc4fb7aad2c</v>
      </c>
      <c r="D9" s="35" t="str">
        <f>IFERROR(IF('D1'!C6="", "", 'D1'!C6), "")</f>
        <v>delivered</v>
      </c>
      <c r="E9" s="36">
        <f>IFERROR(IF('D1'!D6="", "", 'D1'!D6), "")</f>
        <v>43144.88795138889</v>
      </c>
      <c r="F9" s="36">
        <f>IFERROR(IF('D1'!E6="", "", 'D1'!E6), "")</f>
        <v>43144.930891203701</v>
      </c>
      <c r="G9" s="36">
        <f>IFERROR(IF('D1'!F6="", "", 'D1'!F6), "")</f>
        <v>43145.824004629627</v>
      </c>
      <c r="H9" s="36">
        <f>IFERROR(IF('D1'!G6="", "", 'D1'!G6), "")</f>
        <v>43147.761828703704</v>
      </c>
      <c r="I9" s="37">
        <f>IFERROR(IF('D1'!H6="", "", 'D1'!H6), "")</f>
        <v>43157</v>
      </c>
      <c r="J9" s="39"/>
    </row>
    <row r="10" spans="2:10" ht="21" customHeight="1" x14ac:dyDescent="0.3">
      <c r="B10" s="38" t="str">
        <f>IFERROR(IF('D1'!A7="", "", 'D1'!A7), "")</f>
        <v>a4591c265e18cb1dcee52889e2d8acc3</v>
      </c>
      <c r="C10" s="35" t="str">
        <f>IFERROR(IF('D1'!B7="", "", 'D1'!B7), "")</f>
        <v>503740e9ca751ccdda7ba28e9ab8f608</v>
      </c>
      <c r="D10" s="35" t="str">
        <f>IFERROR(IF('D1'!C7="", "", 'D1'!C7), "")</f>
        <v>delivered</v>
      </c>
      <c r="E10" s="36">
        <f>IFERROR(IF('D1'!D7="", "", 'D1'!D7), "")</f>
        <v>42925.914641203701</v>
      </c>
      <c r="F10" s="36">
        <f>IFERROR(IF('D1'!E7="", "", 'D1'!E7), "")</f>
        <v>42925.923761574071</v>
      </c>
      <c r="G10" s="36">
        <f>IFERROR(IF('D1'!F7="", "", 'D1'!F7), "")</f>
        <v>42927.623657407406</v>
      </c>
      <c r="H10" s="36">
        <f>IFERROR(IF('D1'!G7="", "", 'D1'!G7), "")</f>
        <v>42942.456886574073</v>
      </c>
      <c r="I10" s="37">
        <f>IFERROR(IF('D1'!H7="", "", 'D1'!H7), "")</f>
        <v>42948</v>
      </c>
      <c r="J10" s="39"/>
    </row>
    <row r="11" spans="2:10" ht="21" customHeight="1" x14ac:dyDescent="0.3">
      <c r="B11" s="38" t="str">
        <f>IFERROR(IF('D1'!A8="", "", 'D1'!A8), "")</f>
        <v>6514b8ad8028c9f2cc2374ded245783f</v>
      </c>
      <c r="C11" s="35" t="str">
        <f>IFERROR(IF('D1'!B8="", "", 'D1'!B8), "")</f>
        <v>9bdf08b4b3b52b5526ff42d37d47f222</v>
      </c>
      <c r="D11" s="35" t="str">
        <f>IFERROR(IF('D1'!C8="", "", 'D1'!C8), "")</f>
        <v>delivered</v>
      </c>
      <c r="E11" s="36">
        <f>IFERROR(IF('D1'!D8="", "", 'D1'!D8), "")</f>
        <v>42871.548958333333</v>
      </c>
      <c r="F11" s="36">
        <f>IFERROR(IF('D1'!E8="", "", 'D1'!E8), "")</f>
        <v>42871.557071759256</v>
      </c>
      <c r="G11" s="36">
        <f>IFERROR(IF('D1'!F8="", "", 'D1'!F8), "")</f>
        <v>42877.422060185185</v>
      </c>
      <c r="H11" s="36">
        <f>IFERROR(IF('D1'!G8="", "", 'D1'!G8), "")</f>
        <v>42881.538784722223</v>
      </c>
      <c r="I11" s="37">
        <f>IFERROR(IF('D1'!H8="", "", 'D1'!H8), "")</f>
        <v>42893</v>
      </c>
      <c r="J11" s="39"/>
    </row>
    <row r="12" spans="2:10" ht="21" customHeight="1" x14ac:dyDescent="0.3">
      <c r="B12" s="38" t="str">
        <f>IFERROR(IF('D1'!A9="", "", 'D1'!A9), "")</f>
        <v>76c6e866289321a7c93b82b54852dc33</v>
      </c>
      <c r="C12" s="35" t="str">
        <f>IFERROR(IF('D1'!B9="", "", 'D1'!B9), "")</f>
        <v>f54a9f0e6b351c431402b8461ea51999</v>
      </c>
      <c r="D12" s="35" t="str">
        <f>IFERROR(IF('D1'!C9="", "", 'D1'!C9), "")</f>
        <v>delivered</v>
      </c>
      <c r="E12" s="36">
        <f>IFERROR(IF('D1'!D9="", "", 'D1'!D9), "")</f>
        <v>42758.770243055558</v>
      </c>
      <c r="F12" s="36">
        <f>IFERROR(IF('D1'!E9="", "", 'D1'!E9), "")</f>
        <v>42760.11859953704</v>
      </c>
      <c r="G12" s="36">
        <f>IFERROR(IF('D1'!F9="", "", 'D1'!F9), "")</f>
        <v>42761.59480324074</v>
      </c>
      <c r="H12" s="36">
        <f>IFERROR(IF('D1'!G9="", "", 'D1'!G9), "")</f>
        <v>42768.589004629626</v>
      </c>
      <c r="I12" s="37">
        <f>IFERROR(IF('D1'!H9="", "", 'D1'!H9), "")</f>
        <v>42800</v>
      </c>
      <c r="J12" s="39"/>
    </row>
    <row r="13" spans="2:10" ht="21" customHeight="1" x14ac:dyDescent="0.3">
      <c r="B13" s="38" t="str">
        <f>IFERROR(IF('D1'!A10="", "", 'D1'!A10), "")</f>
        <v>e69bfb5eb88e0ed6a785585b27e16dbf</v>
      </c>
      <c r="C13" s="35" t="str">
        <f>IFERROR(IF('D1'!B10="", "", 'D1'!B10), "")</f>
        <v>31ad1d1b63eb9962463f764d4e6e0c9d</v>
      </c>
      <c r="D13" s="35" t="str">
        <f>IFERROR(IF('D1'!C10="", "", 'D1'!C10), "")</f>
        <v>delivered</v>
      </c>
      <c r="E13" s="36">
        <f>IFERROR(IF('D1'!D10="", "", 'D1'!D10), "")</f>
        <v>42945.496550925927</v>
      </c>
      <c r="F13" s="36">
        <f>IFERROR(IF('D1'!E10="", "", 'D1'!E10), "")</f>
        <v>42945.503842592596</v>
      </c>
      <c r="G13" s="36">
        <f>IFERROR(IF('D1'!F10="", "", 'D1'!F10), "")</f>
        <v>42957.823194444441</v>
      </c>
      <c r="H13" s="36">
        <f>IFERROR(IF('D1'!G10="", "", 'D1'!G10), "")</f>
        <v>42963.718402777777</v>
      </c>
      <c r="I13" s="37">
        <f>IFERROR(IF('D1'!H10="", "", 'D1'!H10), "")</f>
        <v>42970</v>
      </c>
      <c r="J13" s="39"/>
    </row>
    <row r="14" spans="2:10" ht="21" customHeight="1" x14ac:dyDescent="0.3">
      <c r="B14" s="38" t="str">
        <f>IFERROR(IF('D1'!A11="", "", 'D1'!A11), "")</f>
        <v>e6ce16cb79ec1d90b1da9085a6118aeb</v>
      </c>
      <c r="C14" s="35" t="str">
        <f>IFERROR(IF('D1'!B11="", "", 'D1'!B11), "")</f>
        <v>494dded5b201313c64ed7f100595b95c</v>
      </c>
      <c r="D14" s="35" t="str">
        <f>IFERROR(IF('D1'!C11="", "", 'D1'!C11), "")</f>
        <v>delivered</v>
      </c>
      <c r="E14" s="36">
        <f>IFERROR(IF('D1'!D11="", "", 'D1'!D11), "")</f>
        <v>42871.820254629631</v>
      </c>
      <c r="F14" s="36">
        <f>IFERROR(IF('D1'!E11="", "", 'D1'!E11), "")</f>
        <v>42871.826597222222</v>
      </c>
      <c r="G14" s="36">
        <f>IFERROR(IF('D1'!F11="", "", 'D1'!F11), "")</f>
        <v>42873.486574074072</v>
      </c>
      <c r="H14" s="36">
        <f>IFERROR(IF('D1'!G11="", "", 'D1'!G11), "")</f>
        <v>42884.471192129633</v>
      </c>
      <c r="I14" s="37">
        <f>IFERROR(IF('D1'!H11="", "", 'D1'!H11), "")</f>
        <v>42893</v>
      </c>
      <c r="J14" s="39"/>
    </row>
    <row r="15" spans="2:10" ht="21" customHeight="1" x14ac:dyDescent="0.3">
      <c r="B15" s="38" t="str">
        <f>IFERROR(IF('D1'!A12="", "", 'D1'!A12), "")</f>
        <v>34513ce0c4fab462a55830c0989c7edb</v>
      </c>
      <c r="C15" s="35" t="str">
        <f>IFERROR(IF('D1'!B12="", "", 'D1'!B12), "")</f>
        <v>7711cf624183d843aafe81855097bc37</v>
      </c>
      <c r="D15" s="35" t="str">
        <f>IFERROR(IF('D1'!C12="", "", 'D1'!C12), "")</f>
        <v>delivered</v>
      </c>
      <c r="E15" s="36">
        <f>IFERROR(IF('D1'!D12="", "", 'D1'!D12), "")</f>
        <v>42929.832071759258</v>
      </c>
      <c r="F15" s="36">
        <f>IFERROR(IF('D1'!E12="", "", 'D1'!E12), "")</f>
        <v>42929.840370370373</v>
      </c>
      <c r="G15" s="36">
        <f>IFERROR(IF('D1'!F12="", "", 'D1'!F12), "")</f>
        <v>42930.78019675926</v>
      </c>
      <c r="H15" s="36">
        <f>IFERROR(IF('D1'!G12="", "", 'D1'!G12), "")</f>
        <v>42935.58666666667</v>
      </c>
      <c r="I15" s="37">
        <f>IFERROR(IF('D1'!H12="", "", 'D1'!H12), "")</f>
        <v>42955</v>
      </c>
      <c r="J15" s="39"/>
    </row>
    <row r="16" spans="2:10" ht="21" customHeight="1" x14ac:dyDescent="0.3">
      <c r="B16" s="38" t="str">
        <f>IFERROR(IF('D1'!A13="", "", 'D1'!A13), "")</f>
        <v>82566a660a982b15fb86e904c8d32918</v>
      </c>
      <c r="C16" s="35" t="str">
        <f>IFERROR(IF('D1'!B13="", "", 'D1'!B13), "")</f>
        <v>d3e3b74c766bc6214e0c830b17ee2341</v>
      </c>
      <c r="D16" s="35" t="str">
        <f>IFERROR(IF('D1'!C13="", "", 'D1'!C13), "")</f>
        <v>delivered</v>
      </c>
      <c r="E16" s="36">
        <f>IFERROR(IF('D1'!D13="", "", 'D1'!D13), "")</f>
        <v>43258.421053240738</v>
      </c>
      <c r="F16" s="36">
        <f>IFERROR(IF('D1'!E13="", "", 'D1'!E13), "")</f>
        <v>43260.134166666663</v>
      </c>
      <c r="G16" s="36">
        <f>IFERROR(IF('D1'!F13="", "", 'D1'!F13), "")</f>
        <v>43262.561805555553</v>
      </c>
      <c r="H16" s="36">
        <f>IFERROR(IF('D1'!G13="", "", 'D1'!G13), "")</f>
        <v>43270.504074074073</v>
      </c>
      <c r="I16" s="37">
        <f>IFERROR(IF('D1'!H13="", "", 'D1'!H13), "")</f>
        <v>43299</v>
      </c>
      <c r="J16" s="39"/>
    </row>
    <row r="17" spans="2:10" ht="21" customHeight="1" x14ac:dyDescent="0.3">
      <c r="B17" s="38" t="str">
        <f>IFERROR(IF('D1'!A14="", "", 'D1'!A14), "")</f>
        <v>5ff96c15d0b717ac6ad1f3d77225a350</v>
      </c>
      <c r="C17" s="35" t="str">
        <f>IFERROR(IF('D1'!B14="", "", 'D1'!B14), "")</f>
        <v>19402a48fe860416adf93348aba37740</v>
      </c>
      <c r="D17" s="35" t="str">
        <f>IFERROR(IF('D1'!C14="", "", 'D1'!C14), "")</f>
        <v>delivered</v>
      </c>
      <c r="E17" s="36">
        <f>IFERROR(IF('D1'!D14="", "", 'D1'!D14), "")</f>
        <v>43306.739004629628</v>
      </c>
      <c r="F17" s="36">
        <f>IFERROR(IF('D1'!E14="", "", 'D1'!E14), "")</f>
        <v>43306.746689814812</v>
      </c>
      <c r="G17" s="36">
        <f>IFERROR(IF('D1'!F14="", "", 'D1'!F14), "")</f>
        <v>43307.552777777775</v>
      </c>
      <c r="H17" s="36">
        <f>IFERROR(IF('D1'!G14="", "", 'D1'!G14), "")</f>
        <v>43311.661400462966</v>
      </c>
      <c r="I17" s="37">
        <f>IFERROR(IF('D1'!H14="", "", 'D1'!H14), "")</f>
        <v>43320</v>
      </c>
      <c r="J17" s="39"/>
    </row>
    <row r="18" spans="2:10" ht="21" customHeight="1" x14ac:dyDescent="0.3">
      <c r="B18" s="38" t="str">
        <f>IFERROR(IF('D1'!A15="", "", 'D1'!A15), "")</f>
        <v>432aaf21d85167c2c86ec9448c4e42cc</v>
      </c>
      <c r="C18" s="35" t="str">
        <f>IFERROR(IF('D1'!B15="", "", 'D1'!B15), "")</f>
        <v>3df704f53d3f1d4818840b34ec672a9f</v>
      </c>
      <c r="D18" s="35" t="str">
        <f>IFERROR(IF('D1'!C15="", "", 'D1'!C15), "")</f>
        <v>delivered</v>
      </c>
      <c r="E18" s="36">
        <f>IFERROR(IF('D1'!D15="", "", 'D1'!D15), "")</f>
        <v>43160.59337962963</v>
      </c>
      <c r="F18" s="36">
        <f>IFERROR(IF('D1'!E15="", "", 'D1'!E15), "")</f>
        <v>43160.632488425923</v>
      </c>
      <c r="G18" s="36">
        <f>IFERROR(IF('D1'!F15="", "", 'D1'!F15), "")</f>
        <v>43161.881481481483</v>
      </c>
      <c r="H18" s="36">
        <f>IFERROR(IF('D1'!G15="", "", 'D1'!G15), "")</f>
        <v>43171.983634259261</v>
      </c>
      <c r="I18" s="37">
        <f>IFERROR(IF('D1'!H15="", "", 'D1'!H15), "")</f>
        <v>43180</v>
      </c>
      <c r="J18" s="39"/>
    </row>
    <row r="19" spans="2:10" ht="21" customHeight="1" x14ac:dyDescent="0.3">
      <c r="B19" s="38" t="str">
        <f>IFERROR(IF('D1'!A16="", "", 'D1'!A16), "")</f>
        <v>dcb36b511fcac050b97cd5c05de84dc3</v>
      </c>
      <c r="C19" s="35" t="str">
        <f>IFERROR(IF('D1'!B16="", "", 'D1'!B16), "")</f>
        <v>3b6828a50ffe546942b7a473d70ac0fc</v>
      </c>
      <c r="D19" s="35" t="str">
        <f>IFERROR(IF('D1'!C16="", "", 'D1'!C16), "")</f>
        <v>delivered</v>
      </c>
      <c r="E19" s="36">
        <f>IFERROR(IF('D1'!D16="", "", 'D1'!D16), "")</f>
        <v>43258.793888888889</v>
      </c>
      <c r="F19" s="36">
        <f>IFERROR(IF('D1'!E16="", "", 'D1'!E16), "")</f>
        <v>43263.979884259257</v>
      </c>
      <c r="G19" s="36">
        <f>IFERROR(IF('D1'!F16="", "", 'D1'!F16), "")</f>
        <v>43262.620833333334</v>
      </c>
      <c r="H19" s="36">
        <f>IFERROR(IF('D1'!G16="", "", 'D1'!G16), "")</f>
        <v>43272.648981481485</v>
      </c>
      <c r="I19" s="37">
        <f>IFERROR(IF('D1'!H16="", "", 'D1'!H16), "")</f>
        <v>43285</v>
      </c>
      <c r="J19" s="39"/>
    </row>
    <row r="20" spans="2:10" ht="21" customHeight="1" x14ac:dyDescent="0.3">
      <c r="B20" s="38" t="str">
        <f>IFERROR(IF('D1'!A17="", "", 'D1'!A17), "")</f>
        <v>403b97836b0c04a622354cf531062e5f</v>
      </c>
      <c r="C20" s="35" t="str">
        <f>IFERROR(IF('D1'!B17="", "", 'D1'!B17), "")</f>
        <v>738b086814c6fcc74b8cc583f8516ee3</v>
      </c>
      <c r="D20" s="35" t="str">
        <f>IFERROR(IF('D1'!C17="", "", 'D1'!C17), "")</f>
        <v>delivered</v>
      </c>
      <c r="E20" s="36">
        <f>IFERROR(IF('D1'!D17="", "", 'D1'!D17), "")</f>
        <v>43102.792164351849</v>
      </c>
      <c r="F20" s="36">
        <f>IFERROR(IF('D1'!E17="", "", 'D1'!E17), "")</f>
        <v>43102.797962962963</v>
      </c>
      <c r="G20" s="36">
        <f>IFERROR(IF('D1'!F17="", "", 'D1'!F17), "")</f>
        <v>43103.763298611113</v>
      </c>
      <c r="H20" s="36">
        <f>IFERROR(IF('D1'!G17="", "", 'D1'!G17), "")</f>
        <v>43120.068738425929</v>
      </c>
      <c r="I20" s="37">
        <f>IFERROR(IF('D1'!H17="", "", 'D1'!H17), "")</f>
        <v>43137</v>
      </c>
      <c r="J20" s="39"/>
    </row>
    <row r="21" spans="2:10" ht="21" customHeight="1" x14ac:dyDescent="0.3">
      <c r="B21" s="38" t="str">
        <f>IFERROR(IF('D1'!A18="", "", 'D1'!A18), "")</f>
        <v>116f0b09343b49556bbad5f35bee0cdf</v>
      </c>
      <c r="C21" s="35" t="str">
        <f>IFERROR(IF('D1'!B18="", "", 'D1'!B18), "")</f>
        <v>3187789bec990987628d7a9beb4dd6ac</v>
      </c>
      <c r="D21" s="35" t="str">
        <f>IFERROR(IF('D1'!C18="", "", 'D1'!C18), "")</f>
        <v>delivered</v>
      </c>
      <c r="E21" s="36">
        <f>IFERROR(IF('D1'!D18="", "", 'D1'!D18), "")</f>
        <v>43095.987164351849</v>
      </c>
      <c r="F21" s="36">
        <f>IFERROR(IF('D1'!E18="", "", 'D1'!E18), "")</f>
        <v>43095.993310185186</v>
      </c>
      <c r="G21" s="36">
        <f>IFERROR(IF('D1'!F18="", "", 'D1'!F18), "")</f>
        <v>43097.772974537038</v>
      </c>
      <c r="H21" s="36">
        <f>IFERROR(IF('D1'!G18="", "", 'D1'!G18), "")</f>
        <v>43108.942083333335</v>
      </c>
      <c r="I21" s="37">
        <f>IFERROR(IF('D1'!H18="", "", 'D1'!H18), "")</f>
        <v>43129</v>
      </c>
      <c r="J21" s="39"/>
    </row>
    <row r="22" spans="2:10" ht="21" customHeight="1" x14ac:dyDescent="0.3">
      <c r="B22" s="38" t="str">
        <f>IFERROR(IF('D1'!A19="", "", 'D1'!A19), "")</f>
        <v>85ce859fd6dc634de8d2f1e290444043</v>
      </c>
      <c r="C22" s="35" t="str">
        <f>IFERROR(IF('D1'!B19="", "", 'D1'!B19), "")</f>
        <v>059f7fc5719c7da6cbafe370971a8d70</v>
      </c>
      <c r="D22" s="35" t="str">
        <f>IFERROR(IF('D1'!C19="", "", 'D1'!C19), "")</f>
        <v>delivered</v>
      </c>
      <c r="E22" s="36">
        <f>IFERROR(IF('D1'!D19="", "", 'D1'!D19), "")</f>
        <v>43060.002557870372</v>
      </c>
      <c r="F22" s="36">
        <f>IFERROR(IF('D1'!E19="", "", 'D1'!E19), "")</f>
        <v>43060.009976851848</v>
      </c>
      <c r="G22" s="36">
        <f>IFERROR(IF('D1'!F19="", "", 'D1'!F19), "")</f>
        <v>43062.897523148145</v>
      </c>
      <c r="H22" s="36">
        <f>IFERROR(IF('D1'!G19="", "", 'D1'!G19), "")</f>
        <v>43066.769444444442</v>
      </c>
      <c r="I22" s="37">
        <f>IFERROR(IF('D1'!H19="", "", 'D1'!H19), "")</f>
        <v>43080</v>
      </c>
      <c r="J22" s="39"/>
    </row>
    <row r="23" spans="2:10" ht="21" customHeight="1" x14ac:dyDescent="0.3">
      <c r="B23" s="38" t="str">
        <f>IFERROR(IF('D1'!A20="", "", 'D1'!A20), "")</f>
        <v>83018ec114eee8641c97e08f7b4e926f</v>
      </c>
      <c r="C23" s="35" t="str">
        <f>IFERROR(IF('D1'!B20="", "", 'D1'!B20), "")</f>
        <v>7f8c8b9c2ae27bf3300f670c3d478be8</v>
      </c>
      <c r="D23" s="35" t="str">
        <f>IFERROR(IF('D1'!C20="", "", 'D1'!C20), "")</f>
        <v>delivered</v>
      </c>
      <c r="E23" s="36">
        <f>IFERROR(IF('D1'!D20="", "", 'D1'!D20), "")</f>
        <v>43034.662800925929</v>
      </c>
      <c r="F23" s="36">
        <f>IFERROR(IF('D1'!E20="", "", 'D1'!E20), "")</f>
        <v>43034.672384259262</v>
      </c>
      <c r="G23" s="36">
        <f>IFERROR(IF('D1'!F20="", "", 'D1'!F20), "")</f>
        <v>43034.907557870371</v>
      </c>
      <c r="H23" s="36">
        <f>IFERROR(IF('D1'!G20="", "", 'D1'!G20), "")</f>
        <v>43047.931944444441</v>
      </c>
      <c r="I23" s="37">
        <f>IFERROR(IF('D1'!H20="", "", 'D1'!H20), "")</f>
        <v>43062</v>
      </c>
      <c r="J23" s="39"/>
    </row>
    <row r="24" spans="2:10" ht="21" customHeight="1" x14ac:dyDescent="0.3">
      <c r="B24" s="38" t="str">
        <f>IFERROR(IF('D1'!A21="", "", 'D1'!A21), "")</f>
        <v>203096f03d82e0dffbc41ebc2e2bcfb7</v>
      </c>
      <c r="C24" s="35" t="str">
        <f>IFERROR(IF('D1'!B21="", "", 'D1'!B21), "")</f>
        <v>d2b091571da224a1b36412c18bc3bbfe</v>
      </c>
      <c r="D24" s="35" t="str">
        <f>IFERROR(IF('D1'!C21="", "", 'D1'!C21), "")</f>
        <v>delivered</v>
      </c>
      <c r="E24" s="36">
        <f>IFERROR(IF('D1'!D21="", "", 'D1'!D21), "")</f>
        <v>42996.605208333334</v>
      </c>
      <c r="F24" s="36">
        <f>IFERROR(IF('D1'!E21="", "", 'D1'!E21), "")</f>
        <v>42997.169548611113</v>
      </c>
      <c r="G24" s="36">
        <f>IFERROR(IF('D1'!F21="", "", 'D1'!F21), "")</f>
        <v>43014.743090277778</v>
      </c>
      <c r="H24" s="36">
        <f>IFERROR(IF('D1'!G21="", "", 'D1'!G21), "")</f>
        <v>43017.933171296296</v>
      </c>
      <c r="I24" s="37">
        <f>IFERROR(IF('D1'!H21="", "", 'D1'!H21), "")</f>
        <v>43006</v>
      </c>
      <c r="J24" s="39"/>
    </row>
    <row r="25" spans="2:10" ht="21" customHeight="1" x14ac:dyDescent="0.3">
      <c r="B25" s="38" t="str">
        <f>IFERROR(IF('D1'!A22="", "", 'D1'!A22), "")</f>
        <v/>
      </c>
      <c r="C25" s="35" t="str">
        <f>IFERROR(IF('D1'!B22="", "", 'D1'!B22), "")</f>
        <v/>
      </c>
      <c r="D25" s="35" t="str">
        <f>IFERROR(IF('D1'!C22="", "", 'D1'!C22), "")</f>
        <v/>
      </c>
      <c r="E25" s="36" t="str">
        <f>IFERROR(IF('D1'!D22="", "", 'D1'!D22), "")</f>
        <v/>
      </c>
      <c r="F25" s="36" t="str">
        <f>IFERROR(IF('D1'!E22="", "", 'D1'!E22), "")</f>
        <v/>
      </c>
      <c r="G25" s="36" t="str">
        <f>IFERROR(IF('D1'!F22="", "", 'D1'!F22), "")</f>
        <v/>
      </c>
      <c r="H25" s="36" t="str">
        <f>IFERROR(IF('D1'!G22="", "", 'D1'!G22), "")</f>
        <v/>
      </c>
      <c r="I25" s="37" t="str">
        <f>IFERROR(IF('D1'!H22="", "", 'D1'!H22), "")</f>
        <v/>
      </c>
      <c r="J25" s="39"/>
    </row>
    <row r="26" spans="2:10" ht="21" customHeight="1" x14ac:dyDescent="0.3">
      <c r="B26" s="38" t="str">
        <f>IFERROR(IF('D1'!A23="", "", 'D1'!A23), "")</f>
        <v/>
      </c>
      <c r="C26" s="35" t="str">
        <f>IFERROR(IF('D1'!B23="", "", 'D1'!B23), "")</f>
        <v/>
      </c>
      <c r="D26" s="35" t="str">
        <f>IFERROR(IF('D1'!C23="", "", 'D1'!C23), "")</f>
        <v/>
      </c>
      <c r="E26" s="36" t="str">
        <f>IFERROR(IF('D1'!D23="", "", 'D1'!D23), "")</f>
        <v/>
      </c>
      <c r="F26" s="36" t="str">
        <f>IFERROR(IF('D1'!E23="", "", 'D1'!E23), "")</f>
        <v/>
      </c>
      <c r="G26" s="36" t="str">
        <f>IFERROR(IF('D1'!F23="", "", 'D1'!F23), "")</f>
        <v/>
      </c>
      <c r="H26" s="36" t="str">
        <f>IFERROR(IF('D1'!G23="", "", 'D1'!G23), "")</f>
        <v/>
      </c>
      <c r="I26" s="37" t="str">
        <f>IFERROR(IF('D1'!H23="", "", 'D1'!H23), "")</f>
        <v/>
      </c>
      <c r="J26" s="39"/>
    </row>
    <row r="27" spans="2:10" ht="21" customHeight="1" x14ac:dyDescent="0.3">
      <c r="B27" s="38" t="str">
        <f>IFERROR(IF('D1'!A24="", "", 'D1'!A24), "")</f>
        <v/>
      </c>
      <c r="C27" s="35" t="str">
        <f>IFERROR(IF('D1'!B24="", "", 'D1'!B24), "")</f>
        <v/>
      </c>
      <c r="D27" s="35" t="str">
        <f>IFERROR(IF('D1'!C24="", "", 'D1'!C24), "")</f>
        <v/>
      </c>
      <c r="E27" s="36" t="str">
        <f>IFERROR(IF('D1'!D24="", "", 'D1'!D24), "")</f>
        <v/>
      </c>
      <c r="F27" s="36" t="str">
        <f>IFERROR(IF('D1'!E24="", "", 'D1'!E24), "")</f>
        <v/>
      </c>
      <c r="G27" s="36" t="str">
        <f>IFERROR(IF('D1'!F24="", "", 'D1'!F24), "")</f>
        <v/>
      </c>
      <c r="H27" s="36" t="str">
        <f>IFERROR(IF('D1'!G24="", "", 'D1'!G24), "")</f>
        <v/>
      </c>
      <c r="I27" s="37" t="str">
        <f>IFERROR(IF('D1'!H24="", "", 'D1'!H24), "")</f>
        <v/>
      </c>
      <c r="J27" s="3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showGridLines="0" zoomScaleNormal="100" workbookViewId="0"/>
  </sheetViews>
  <sheetFormatPr defaultRowHeight="16.5" x14ac:dyDescent="0.3"/>
  <cols>
    <col min="4" max="8" width="19.25" bestFit="1" customWidth="1"/>
  </cols>
  <sheetData>
    <row r="1" spans="1:8" x14ac:dyDescent="0.3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 x14ac:dyDescent="0.3">
      <c r="A2" s="29" t="s">
        <v>118</v>
      </c>
      <c r="B2" s="29" t="s">
        <v>119</v>
      </c>
      <c r="C2" s="29" t="s">
        <v>120</v>
      </c>
      <c r="D2" s="30">
        <v>43010.455937500003</v>
      </c>
      <c r="E2" s="30">
        <v>43010.463368055556</v>
      </c>
      <c r="F2" s="30">
        <v>43012.829861111109</v>
      </c>
      <c r="G2" s="30">
        <v>43018.892511574071</v>
      </c>
      <c r="H2" s="30">
        <v>43026</v>
      </c>
    </row>
    <row r="3" spans="1:8" x14ac:dyDescent="0.3">
      <c r="A3" s="29" t="s">
        <v>121</v>
      </c>
      <c r="B3" s="29" t="s">
        <v>122</v>
      </c>
      <c r="C3" s="29" t="s">
        <v>120</v>
      </c>
      <c r="D3" s="30">
        <v>43305.862233796295</v>
      </c>
      <c r="E3" s="30">
        <v>43307.141979166663</v>
      </c>
      <c r="F3" s="30">
        <v>43307.604861111111</v>
      </c>
      <c r="G3" s="30">
        <v>43319.644270833334</v>
      </c>
      <c r="H3" s="30">
        <v>43325</v>
      </c>
    </row>
    <row r="4" spans="1:8" x14ac:dyDescent="0.3">
      <c r="A4" s="29" t="s">
        <v>123</v>
      </c>
      <c r="B4" s="29" t="s">
        <v>124</v>
      </c>
      <c r="C4" s="29" t="s">
        <v>120</v>
      </c>
      <c r="D4" s="30">
        <v>43320.360289351855</v>
      </c>
      <c r="E4" s="30">
        <v>43320.371793981481</v>
      </c>
      <c r="F4" s="30">
        <v>43320.576388888891</v>
      </c>
      <c r="G4" s="30">
        <v>43329.754502314812</v>
      </c>
      <c r="H4" s="30">
        <v>43347</v>
      </c>
    </row>
    <row r="5" spans="1:8" x14ac:dyDescent="0.3">
      <c r="A5" s="29" t="s">
        <v>125</v>
      </c>
      <c r="B5" s="29" t="s">
        <v>126</v>
      </c>
      <c r="C5" s="29" t="s">
        <v>120</v>
      </c>
      <c r="D5" s="30">
        <v>43057.811180555553</v>
      </c>
      <c r="E5" s="30">
        <v>43057.823599537034</v>
      </c>
      <c r="F5" s="30">
        <v>43061.569432870368</v>
      </c>
      <c r="G5" s="30">
        <v>43071.019930555558</v>
      </c>
      <c r="H5" s="30">
        <v>43084</v>
      </c>
    </row>
    <row r="6" spans="1:8" x14ac:dyDescent="0.3">
      <c r="A6" s="29" t="s">
        <v>127</v>
      </c>
      <c r="B6" s="29" t="s">
        <v>128</v>
      </c>
      <c r="C6" s="29" t="s">
        <v>120</v>
      </c>
      <c r="D6" s="30">
        <v>43144.88795138889</v>
      </c>
      <c r="E6" s="30">
        <v>43144.930891203701</v>
      </c>
      <c r="F6" s="30">
        <v>43145.824004629627</v>
      </c>
      <c r="G6" s="30">
        <v>43147.761828703704</v>
      </c>
      <c r="H6" s="30">
        <v>43157</v>
      </c>
    </row>
    <row r="7" spans="1:8" x14ac:dyDescent="0.3">
      <c r="A7" s="29" t="s">
        <v>129</v>
      </c>
      <c r="B7" s="29" t="s">
        <v>130</v>
      </c>
      <c r="C7" s="29" t="s">
        <v>120</v>
      </c>
      <c r="D7" s="30">
        <v>42925.914641203701</v>
      </c>
      <c r="E7" s="30">
        <v>42925.923761574071</v>
      </c>
      <c r="F7" s="30">
        <v>42927.623657407406</v>
      </c>
      <c r="G7" s="30">
        <v>42942.456886574073</v>
      </c>
      <c r="H7" s="30">
        <v>42948</v>
      </c>
    </row>
    <row r="8" spans="1:8" x14ac:dyDescent="0.3">
      <c r="A8" s="29" t="s">
        <v>131</v>
      </c>
      <c r="B8" s="29" t="s">
        <v>132</v>
      </c>
      <c r="C8" s="29" t="s">
        <v>120</v>
      </c>
      <c r="D8" s="30">
        <v>42871.548958333333</v>
      </c>
      <c r="E8" s="30">
        <v>42871.557071759256</v>
      </c>
      <c r="F8" s="30">
        <v>42877.422060185185</v>
      </c>
      <c r="G8" s="30">
        <v>42881.538784722223</v>
      </c>
      <c r="H8" s="30">
        <v>42893</v>
      </c>
    </row>
    <row r="9" spans="1:8" x14ac:dyDescent="0.3">
      <c r="A9" s="29" t="s">
        <v>133</v>
      </c>
      <c r="B9" s="29" t="s">
        <v>134</v>
      </c>
      <c r="C9" s="29" t="s">
        <v>120</v>
      </c>
      <c r="D9" s="30">
        <v>42758.770243055558</v>
      </c>
      <c r="E9" s="30">
        <v>42760.11859953704</v>
      </c>
      <c r="F9" s="30">
        <v>42761.59480324074</v>
      </c>
      <c r="G9" s="30">
        <v>42768.589004629626</v>
      </c>
      <c r="H9" s="30">
        <v>42800</v>
      </c>
    </row>
    <row r="10" spans="1:8" x14ac:dyDescent="0.3">
      <c r="A10" s="29" t="s">
        <v>135</v>
      </c>
      <c r="B10" s="29" t="s">
        <v>136</v>
      </c>
      <c r="C10" s="29" t="s">
        <v>120</v>
      </c>
      <c r="D10" s="30">
        <v>42945.496550925927</v>
      </c>
      <c r="E10" s="30">
        <v>42945.503842592596</v>
      </c>
      <c r="F10" s="30">
        <v>42957.823194444441</v>
      </c>
      <c r="G10" s="30">
        <v>42963.718402777777</v>
      </c>
      <c r="H10" s="30">
        <v>42970</v>
      </c>
    </row>
    <row r="11" spans="1:8" x14ac:dyDescent="0.3">
      <c r="A11" s="29" t="s">
        <v>137</v>
      </c>
      <c r="B11" s="29" t="s">
        <v>138</v>
      </c>
      <c r="C11" s="29" t="s">
        <v>120</v>
      </c>
      <c r="D11" s="30">
        <v>42871.820254629631</v>
      </c>
      <c r="E11" s="30">
        <v>42871.826597222222</v>
      </c>
      <c r="F11" s="30">
        <v>42873.486574074072</v>
      </c>
      <c r="G11" s="30">
        <v>42884.471192129633</v>
      </c>
      <c r="H11" s="30">
        <v>42893</v>
      </c>
    </row>
    <row r="12" spans="1:8" x14ac:dyDescent="0.3">
      <c r="A12" s="29" t="s">
        <v>139</v>
      </c>
      <c r="B12" s="29" t="s">
        <v>140</v>
      </c>
      <c r="C12" s="29" t="s">
        <v>120</v>
      </c>
      <c r="D12" s="30">
        <v>42929.832071759258</v>
      </c>
      <c r="E12" s="30">
        <v>42929.840370370373</v>
      </c>
      <c r="F12" s="30">
        <v>42930.78019675926</v>
      </c>
      <c r="G12" s="30">
        <v>42935.58666666667</v>
      </c>
      <c r="H12" s="30">
        <v>42955</v>
      </c>
    </row>
    <row r="13" spans="1:8" x14ac:dyDescent="0.3">
      <c r="A13" s="29" t="s">
        <v>141</v>
      </c>
      <c r="B13" s="29" t="s">
        <v>142</v>
      </c>
      <c r="C13" s="29" t="s">
        <v>120</v>
      </c>
      <c r="D13" s="30">
        <v>43258.421053240738</v>
      </c>
      <c r="E13" s="30">
        <v>43260.134166666663</v>
      </c>
      <c r="F13" s="30">
        <v>43262.561805555553</v>
      </c>
      <c r="G13" s="30">
        <v>43270.504074074073</v>
      </c>
      <c r="H13" s="30">
        <v>43299</v>
      </c>
    </row>
    <row r="14" spans="1:8" x14ac:dyDescent="0.3">
      <c r="A14" s="29" t="s">
        <v>143</v>
      </c>
      <c r="B14" s="29" t="s">
        <v>144</v>
      </c>
      <c r="C14" s="29" t="s">
        <v>120</v>
      </c>
      <c r="D14" s="30">
        <v>43306.739004629628</v>
      </c>
      <c r="E14" s="30">
        <v>43306.746689814812</v>
      </c>
      <c r="F14" s="30">
        <v>43307.552777777775</v>
      </c>
      <c r="G14" s="30">
        <v>43311.661400462966</v>
      </c>
      <c r="H14" s="30">
        <v>43320</v>
      </c>
    </row>
    <row r="15" spans="1:8" x14ac:dyDescent="0.3">
      <c r="A15" s="29" t="s">
        <v>145</v>
      </c>
      <c r="B15" s="29" t="s">
        <v>146</v>
      </c>
      <c r="C15" s="29" t="s">
        <v>120</v>
      </c>
      <c r="D15" s="30">
        <v>43160.59337962963</v>
      </c>
      <c r="E15" s="30">
        <v>43160.632488425923</v>
      </c>
      <c r="F15" s="30">
        <v>43161.881481481483</v>
      </c>
      <c r="G15" s="30">
        <v>43171.983634259261</v>
      </c>
      <c r="H15" s="30">
        <v>43180</v>
      </c>
    </row>
    <row r="16" spans="1:8" x14ac:dyDescent="0.3">
      <c r="A16" s="29" t="s">
        <v>147</v>
      </c>
      <c r="B16" s="29" t="s">
        <v>148</v>
      </c>
      <c r="C16" s="29" t="s">
        <v>120</v>
      </c>
      <c r="D16" s="30">
        <v>43258.793888888889</v>
      </c>
      <c r="E16" s="30">
        <v>43263.979884259257</v>
      </c>
      <c r="F16" s="30">
        <v>43262.620833333334</v>
      </c>
      <c r="G16" s="30">
        <v>43272.648981481485</v>
      </c>
      <c r="H16" s="30">
        <v>43285</v>
      </c>
    </row>
    <row r="17" spans="1:8" x14ac:dyDescent="0.3">
      <c r="A17" s="29" t="s">
        <v>149</v>
      </c>
      <c r="B17" s="29" t="s">
        <v>150</v>
      </c>
      <c r="C17" s="29" t="s">
        <v>120</v>
      </c>
      <c r="D17" s="30">
        <v>43102.792164351849</v>
      </c>
      <c r="E17" s="30">
        <v>43102.797962962963</v>
      </c>
      <c r="F17" s="30">
        <v>43103.763298611113</v>
      </c>
      <c r="G17" s="30">
        <v>43120.068738425929</v>
      </c>
      <c r="H17" s="30">
        <v>43137</v>
      </c>
    </row>
    <row r="18" spans="1:8" x14ac:dyDescent="0.3">
      <c r="A18" s="29" t="s">
        <v>151</v>
      </c>
      <c r="B18" s="29" t="s">
        <v>152</v>
      </c>
      <c r="C18" s="29" t="s">
        <v>120</v>
      </c>
      <c r="D18" s="30">
        <v>43095.987164351849</v>
      </c>
      <c r="E18" s="30">
        <v>43095.993310185186</v>
      </c>
      <c r="F18" s="30">
        <v>43097.772974537038</v>
      </c>
      <c r="G18" s="30">
        <v>43108.942083333335</v>
      </c>
      <c r="H18" s="30">
        <v>43129</v>
      </c>
    </row>
    <row r="19" spans="1:8" x14ac:dyDescent="0.3">
      <c r="A19" s="29" t="s">
        <v>153</v>
      </c>
      <c r="B19" s="29" t="s">
        <v>154</v>
      </c>
      <c r="C19" s="29" t="s">
        <v>120</v>
      </c>
      <c r="D19" s="30">
        <v>43060.002557870372</v>
      </c>
      <c r="E19" s="30">
        <v>43060.009976851848</v>
      </c>
      <c r="F19" s="30">
        <v>43062.897523148145</v>
      </c>
      <c r="G19" s="30">
        <v>43066.769444444442</v>
      </c>
      <c r="H19" s="30">
        <v>43080</v>
      </c>
    </row>
    <row r="20" spans="1:8" x14ac:dyDescent="0.3">
      <c r="A20" s="29" t="s">
        <v>155</v>
      </c>
      <c r="B20" s="29" t="s">
        <v>156</v>
      </c>
      <c r="C20" s="29" t="s">
        <v>120</v>
      </c>
      <c r="D20" s="30">
        <v>43034.662800925929</v>
      </c>
      <c r="E20" s="30">
        <v>43034.672384259262</v>
      </c>
      <c r="F20" s="30">
        <v>43034.907557870371</v>
      </c>
      <c r="G20" s="30">
        <v>43047.931944444441</v>
      </c>
      <c r="H20" s="30">
        <v>43062</v>
      </c>
    </row>
    <row r="21" spans="1:8" x14ac:dyDescent="0.3">
      <c r="A21" s="29" t="s">
        <v>157</v>
      </c>
      <c r="B21" s="29" t="s">
        <v>158</v>
      </c>
      <c r="C21" s="29" t="s">
        <v>120</v>
      </c>
      <c r="D21" s="30">
        <v>42996.605208333334</v>
      </c>
      <c r="E21" s="30">
        <v>42997.169548611113</v>
      </c>
      <c r="F21" s="30">
        <v>43014.743090277778</v>
      </c>
      <c r="G21" s="30">
        <v>43017.933171296296</v>
      </c>
      <c r="H21" s="30">
        <v>43006</v>
      </c>
    </row>
  </sheetData>
  <autoFilter ref="A1:H1" xr:uid="{DECCB0B5-AB42-4153-ACD1-B29D9D6FEF4A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4"/>
  <sheetViews>
    <sheetView showGridLines="0" topLeftCell="A5" zoomScaleNormal="100" workbookViewId="0">
      <selection activeCell="C8" sqref="C8"/>
    </sheetView>
  </sheetViews>
  <sheetFormatPr defaultRowHeight="16.5" x14ac:dyDescent="0.3"/>
  <cols>
    <col min="1" max="1" width="3" customWidth="1"/>
    <col min="2" max="2" width="12" customWidth="1"/>
    <col min="3" max="3" width="19.25" customWidth="1"/>
    <col min="4" max="4" width="19.75" customWidth="1"/>
    <col min="5" max="5" width="9.125" customWidth="1"/>
  </cols>
  <sheetData>
    <row r="1" spans="2:5" hidden="1" x14ac:dyDescent="0.3"/>
    <row r="2" spans="2:5" hidden="1" x14ac:dyDescent="0.3"/>
    <row r="3" spans="2:5" hidden="1" x14ac:dyDescent="0.3"/>
    <row r="4" spans="2:5" hidden="1" x14ac:dyDescent="0.3"/>
    <row r="6" spans="2:5" ht="17.25" x14ac:dyDescent="0.3">
      <c r="B6" s="1" t="s">
        <v>0</v>
      </c>
    </row>
    <row r="7" spans="2:5" ht="35.25" customHeight="1" x14ac:dyDescent="0.3">
      <c r="B7" s="26" t="s">
        <v>1</v>
      </c>
      <c r="C7" s="27" t="s">
        <v>2</v>
      </c>
      <c r="D7" s="26" t="s">
        <v>3</v>
      </c>
      <c r="E7" s="26" t="s">
        <v>4</v>
      </c>
    </row>
    <row r="8" spans="2:5" x14ac:dyDescent="0.3">
      <c r="B8" s="2" t="s">
        <v>108</v>
      </c>
      <c r="C8" s="3" t="s">
        <v>109</v>
      </c>
      <c r="D8" s="3"/>
      <c r="E8" s="4"/>
    </row>
    <row r="9" spans="2:5" x14ac:dyDescent="0.3">
      <c r="B9" s="2"/>
      <c r="C9" s="3"/>
      <c r="D9" s="3"/>
      <c r="E9" s="4"/>
    </row>
    <row r="10" spans="2:5" x14ac:dyDescent="0.3">
      <c r="B10" s="2"/>
      <c r="C10" s="3"/>
      <c r="D10" s="3"/>
      <c r="E10" s="4"/>
    </row>
    <row r="11" spans="2:5" x14ac:dyDescent="0.3">
      <c r="B11" s="2"/>
      <c r="C11" s="3"/>
      <c r="D11" s="3"/>
      <c r="E11" s="4"/>
    </row>
    <row r="12" spans="2:5" x14ac:dyDescent="0.3">
      <c r="B12" s="2"/>
      <c r="C12" s="3"/>
      <c r="D12" s="3"/>
      <c r="E12" s="4"/>
    </row>
    <row r="13" spans="2:5" x14ac:dyDescent="0.3">
      <c r="B13" s="2"/>
      <c r="C13" s="3"/>
      <c r="D13" s="3"/>
      <c r="E13" s="4"/>
    </row>
    <row r="14" spans="2:5" x14ac:dyDescent="0.3">
      <c r="B14" s="2"/>
      <c r="C14" s="3"/>
      <c r="D14" s="3"/>
      <c r="E14" s="4"/>
    </row>
    <row r="15" spans="2:5" x14ac:dyDescent="0.3">
      <c r="B15" s="2"/>
      <c r="C15" s="3"/>
      <c r="D15" s="3"/>
      <c r="E15" s="4"/>
    </row>
    <row r="16" spans="2:5" x14ac:dyDescent="0.3">
      <c r="B16" s="2"/>
      <c r="C16" s="3"/>
      <c r="D16" s="3"/>
      <c r="E16" s="4"/>
    </row>
    <row r="17" spans="2:5" x14ac:dyDescent="0.3">
      <c r="B17" s="2"/>
      <c r="C17" s="3"/>
      <c r="D17" s="3"/>
      <c r="E17" s="4"/>
    </row>
    <row r="18" spans="2:5" x14ac:dyDescent="0.3">
      <c r="B18" s="2"/>
      <c r="C18" s="3"/>
      <c r="D18" s="3"/>
      <c r="E18" s="4"/>
    </row>
    <row r="19" spans="2:5" x14ac:dyDescent="0.3">
      <c r="B19" s="2"/>
      <c r="C19" s="3"/>
      <c r="D19" s="3"/>
      <c r="E19" s="4"/>
    </row>
    <row r="20" spans="2:5" x14ac:dyDescent="0.3">
      <c r="B20" s="2"/>
      <c r="C20" s="3"/>
      <c r="D20" s="3"/>
      <c r="E20" s="4"/>
    </row>
    <row r="21" spans="2:5" x14ac:dyDescent="0.3">
      <c r="B21" s="2"/>
      <c r="C21" s="3"/>
      <c r="D21" s="3"/>
      <c r="E21" s="4"/>
    </row>
    <row r="22" spans="2:5" x14ac:dyDescent="0.3">
      <c r="B22" s="2"/>
      <c r="C22" s="3"/>
      <c r="D22" s="3"/>
      <c r="E22" s="4"/>
    </row>
    <row r="23" spans="2:5" x14ac:dyDescent="0.3">
      <c r="B23" s="2"/>
      <c r="C23" s="3"/>
      <c r="D23" s="3"/>
      <c r="E23" s="4"/>
    </row>
    <row r="24" spans="2:5" x14ac:dyDescent="0.3">
      <c r="B24" s="5"/>
      <c r="C24" s="6"/>
      <c r="D24" s="6"/>
      <c r="E24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9"/>
  <sheetViews>
    <sheetView showGridLines="0" zoomScaleNormal="100" workbookViewId="0">
      <selection activeCell="C14" sqref="C14"/>
    </sheetView>
  </sheetViews>
  <sheetFormatPr defaultRowHeight="16.5" x14ac:dyDescent="0.3"/>
  <cols>
    <col min="1" max="1" width="2.75" customWidth="1"/>
    <col min="2" max="2" width="23.625" customWidth="1"/>
    <col min="3" max="3" width="70.625" customWidth="1"/>
    <col min="4" max="4" width="87.875" customWidth="1"/>
    <col min="5" max="5" width="22.625" customWidth="1"/>
  </cols>
  <sheetData>
    <row r="1" spans="2:5" ht="11.25" customHeight="1" x14ac:dyDescent="0.3"/>
    <row r="2" spans="2:5" ht="20.25" x14ac:dyDescent="0.3">
      <c r="B2" s="8" t="s">
        <v>5</v>
      </c>
      <c r="C2" s="9"/>
      <c r="D2" s="10"/>
      <c r="E2" s="10" t="s">
        <v>93</v>
      </c>
    </row>
    <row r="3" spans="2:5" ht="9" customHeight="1" x14ac:dyDescent="0.3"/>
    <row r="4" spans="2:5" x14ac:dyDescent="0.3">
      <c r="B4" t="s">
        <v>88</v>
      </c>
    </row>
    <row r="5" spans="2:5" x14ac:dyDescent="0.3">
      <c r="B5" t="s">
        <v>89</v>
      </c>
    </row>
    <row r="6" spans="2:5" ht="8.25" customHeight="1" x14ac:dyDescent="0.3"/>
    <row r="7" spans="2:5" ht="29.25" customHeight="1" x14ac:dyDescent="0.3">
      <c r="B7" s="11" t="s">
        <v>7</v>
      </c>
      <c r="C7" s="11" t="s">
        <v>8</v>
      </c>
      <c r="D7" s="11" t="s">
        <v>9</v>
      </c>
      <c r="E7" s="11" t="s">
        <v>10</v>
      </c>
    </row>
    <row r="8" spans="2:5" ht="73.5" customHeight="1" x14ac:dyDescent="0.3">
      <c r="B8" s="12" t="s">
        <v>11</v>
      </c>
      <c r="C8" s="13" t="s">
        <v>12</v>
      </c>
      <c r="D8" s="14" t="s">
        <v>13</v>
      </c>
      <c r="E8" s="15"/>
    </row>
    <row r="9" spans="2:5" ht="18" customHeight="1" x14ac:dyDescent="0.3">
      <c r="B9" s="16" t="s">
        <v>14</v>
      </c>
      <c r="C9" s="17" t="s">
        <v>15</v>
      </c>
      <c r="D9" s="18" t="s">
        <v>16</v>
      </c>
      <c r="E9" s="19"/>
    </row>
    <row r="10" spans="2:5" ht="18" customHeight="1" x14ac:dyDescent="0.3">
      <c r="B10" s="16" t="s">
        <v>17</v>
      </c>
      <c r="C10" s="13" t="s">
        <v>18</v>
      </c>
      <c r="D10" s="14" t="s">
        <v>19</v>
      </c>
      <c r="E10" s="15"/>
    </row>
    <row r="11" spans="2:5" ht="18" customHeight="1" x14ac:dyDescent="0.3">
      <c r="B11" s="16" t="s">
        <v>20</v>
      </c>
      <c r="C11" s="17" t="s">
        <v>21</v>
      </c>
      <c r="D11" s="18" t="s">
        <v>22</v>
      </c>
      <c r="E11" s="19"/>
    </row>
    <row r="12" spans="2:5" ht="18" customHeight="1" x14ac:dyDescent="0.3">
      <c r="B12" s="16" t="s">
        <v>23</v>
      </c>
      <c r="C12" s="20" t="s">
        <v>24</v>
      </c>
      <c r="D12" s="18" t="s">
        <v>25</v>
      </c>
      <c r="E12" s="19"/>
    </row>
    <row r="13" spans="2:5" ht="72.75" customHeight="1" x14ac:dyDescent="0.3">
      <c r="B13" s="16" t="s">
        <v>26</v>
      </c>
      <c r="C13" s="13" t="s">
        <v>27</v>
      </c>
      <c r="D13" s="14" t="s">
        <v>28</v>
      </c>
      <c r="E13" s="15"/>
    </row>
    <row r="14" spans="2:5" ht="72.75" customHeight="1" x14ac:dyDescent="0.3">
      <c r="B14" s="16" t="s">
        <v>29</v>
      </c>
      <c r="C14" s="17" t="s">
        <v>94</v>
      </c>
      <c r="D14" s="18" t="s">
        <v>30</v>
      </c>
      <c r="E14" s="19"/>
    </row>
    <row r="15" spans="2:5" ht="33" x14ac:dyDescent="0.3">
      <c r="B15" s="16" t="s">
        <v>31</v>
      </c>
      <c r="C15" s="21" t="s">
        <v>32</v>
      </c>
      <c r="D15" s="14" t="s">
        <v>33</v>
      </c>
      <c r="E15" s="15" t="s">
        <v>34</v>
      </c>
    </row>
    <row r="16" spans="2:5" ht="33" x14ac:dyDescent="0.3">
      <c r="B16" s="16" t="s">
        <v>35</v>
      </c>
      <c r="C16" s="20" t="s">
        <v>32</v>
      </c>
      <c r="D16" s="18" t="s">
        <v>36</v>
      </c>
      <c r="E16" s="19" t="s">
        <v>34</v>
      </c>
    </row>
    <row r="17" spans="1:6" x14ac:dyDescent="0.3">
      <c r="B17" s="16" t="s">
        <v>37</v>
      </c>
      <c r="C17" s="21" t="s">
        <v>38</v>
      </c>
      <c r="D17" s="14" t="s">
        <v>38</v>
      </c>
      <c r="E17" s="15" t="s">
        <v>34</v>
      </c>
    </row>
    <row r="18" spans="1:6" ht="33" x14ac:dyDescent="0.3">
      <c r="B18" s="16" t="s">
        <v>39</v>
      </c>
      <c r="C18" s="20" t="s">
        <v>40</v>
      </c>
      <c r="D18" s="18" t="s">
        <v>41</v>
      </c>
      <c r="E18" s="19" t="s">
        <v>42</v>
      </c>
    </row>
    <row r="19" spans="1:6" x14ac:dyDescent="0.3">
      <c r="A19" s="22"/>
      <c r="B19" s="23" t="s">
        <v>43</v>
      </c>
      <c r="C19" s="21" t="s">
        <v>44</v>
      </c>
      <c r="D19" s="14" t="s">
        <v>45</v>
      </c>
      <c r="E19" s="15" t="s">
        <v>46</v>
      </c>
    </row>
    <row r="20" spans="1:6" ht="72.75" customHeight="1" x14ac:dyDescent="0.3">
      <c r="B20" s="16" t="s">
        <v>95</v>
      </c>
      <c r="C20" s="17" t="s">
        <v>96</v>
      </c>
      <c r="D20" s="18" t="s">
        <v>97</v>
      </c>
      <c r="E20" s="19" t="s">
        <v>98</v>
      </c>
    </row>
    <row r="23" spans="1:6" ht="20.25" x14ac:dyDescent="0.3">
      <c r="B23" s="8" t="s">
        <v>47</v>
      </c>
      <c r="C23" s="9"/>
      <c r="D23" s="9"/>
      <c r="E23" s="10" t="s">
        <v>6</v>
      </c>
    </row>
    <row r="24" spans="1:6" ht="8.25" customHeight="1" x14ac:dyDescent="0.3"/>
    <row r="25" spans="1:6" x14ac:dyDescent="0.3">
      <c r="B25" t="s">
        <v>90</v>
      </c>
    </row>
    <row r="26" spans="1:6" ht="6" customHeight="1" x14ac:dyDescent="0.3"/>
    <row r="27" spans="1:6" x14ac:dyDescent="0.3">
      <c r="B27" s="11" t="s">
        <v>48</v>
      </c>
      <c r="C27" s="11" t="s">
        <v>8</v>
      </c>
      <c r="D27" s="11" t="s">
        <v>9</v>
      </c>
      <c r="E27" s="11" t="s">
        <v>10</v>
      </c>
    </row>
    <row r="28" spans="1:6" ht="36.75" customHeight="1" x14ac:dyDescent="0.3">
      <c r="B28" s="12" t="s">
        <v>49</v>
      </c>
      <c r="C28" s="13" t="s">
        <v>50</v>
      </c>
      <c r="D28" s="24" t="s">
        <v>51</v>
      </c>
      <c r="E28" s="25" t="s">
        <v>52</v>
      </c>
    </row>
    <row r="29" spans="1:6" ht="36.75" customHeight="1" x14ac:dyDescent="0.3">
      <c r="B29" s="16" t="s">
        <v>53</v>
      </c>
      <c r="C29" s="17" t="s">
        <v>54</v>
      </c>
      <c r="D29" s="18" t="s">
        <v>55</v>
      </c>
      <c r="E29" s="19" t="s">
        <v>52</v>
      </c>
    </row>
    <row r="30" spans="1:6" ht="81" customHeight="1" x14ac:dyDescent="0.3">
      <c r="B30" s="16" t="s">
        <v>56</v>
      </c>
      <c r="C30" s="13" t="s">
        <v>57</v>
      </c>
      <c r="D30" s="24" t="s">
        <v>58</v>
      </c>
      <c r="E30" s="15" t="s">
        <v>52</v>
      </c>
    </row>
    <row r="31" spans="1:6" ht="223.5" customHeight="1" x14ac:dyDescent="0.3">
      <c r="B31" s="16" t="s">
        <v>59</v>
      </c>
      <c r="C31" s="17" t="s">
        <v>60</v>
      </c>
      <c r="D31" s="18" t="s">
        <v>61</v>
      </c>
      <c r="E31" s="19" t="s">
        <v>52</v>
      </c>
    </row>
    <row r="32" spans="1:6" ht="115.5" x14ac:dyDescent="0.3">
      <c r="B32" s="16" t="s">
        <v>62</v>
      </c>
      <c r="C32" s="13" t="s">
        <v>63</v>
      </c>
      <c r="D32" s="24" t="s">
        <v>64</v>
      </c>
      <c r="E32" s="15" t="s">
        <v>52</v>
      </c>
      <c r="F32" t="s">
        <v>91</v>
      </c>
    </row>
    <row r="33" spans="2:5" ht="181.5" x14ac:dyDescent="0.3">
      <c r="B33" s="16" t="s">
        <v>65</v>
      </c>
      <c r="C33" s="17" t="s">
        <v>66</v>
      </c>
      <c r="D33" s="18" t="s">
        <v>67</v>
      </c>
      <c r="E33" s="19" t="s">
        <v>68</v>
      </c>
    </row>
    <row r="34" spans="2:5" ht="112.5" customHeight="1" x14ac:dyDescent="0.3">
      <c r="B34" s="16" t="s">
        <v>69</v>
      </c>
      <c r="C34" s="13" t="s">
        <v>70</v>
      </c>
      <c r="D34" s="24" t="s">
        <v>71</v>
      </c>
      <c r="E34" s="15" t="s">
        <v>68</v>
      </c>
    </row>
    <row r="35" spans="2:5" ht="71.25" customHeight="1" x14ac:dyDescent="0.3">
      <c r="B35" s="16" t="s">
        <v>92</v>
      </c>
      <c r="C35" s="17" t="s">
        <v>72</v>
      </c>
      <c r="D35" s="18" t="s">
        <v>73</v>
      </c>
      <c r="E35" s="19" t="s">
        <v>74</v>
      </c>
    </row>
    <row r="36" spans="2:5" ht="71.25" customHeight="1" x14ac:dyDescent="0.3">
      <c r="B36" s="16" t="s">
        <v>75</v>
      </c>
      <c r="C36" s="13" t="s">
        <v>76</v>
      </c>
      <c r="D36" s="24" t="s">
        <v>77</v>
      </c>
      <c r="E36" s="15" t="s">
        <v>74</v>
      </c>
    </row>
    <row r="37" spans="2:5" ht="93" customHeight="1" x14ac:dyDescent="0.3">
      <c r="B37" s="16" t="s">
        <v>78</v>
      </c>
      <c r="C37" s="17" t="s">
        <v>79</v>
      </c>
      <c r="D37" s="18" t="s">
        <v>80</v>
      </c>
      <c r="E37" s="19" t="s">
        <v>74</v>
      </c>
    </row>
    <row r="38" spans="2:5" ht="91.5" customHeight="1" x14ac:dyDescent="0.3">
      <c r="B38" s="16" t="s">
        <v>81</v>
      </c>
      <c r="C38" s="13" t="s">
        <v>82</v>
      </c>
      <c r="D38" s="24" t="s">
        <v>83</v>
      </c>
      <c r="E38" s="15" t="s">
        <v>74</v>
      </c>
    </row>
    <row r="39" spans="2:5" ht="66" customHeight="1" x14ac:dyDescent="0.3">
      <c r="B39" s="16" t="s">
        <v>84</v>
      </c>
      <c r="C39" s="17" t="s">
        <v>85</v>
      </c>
      <c r="D39" s="18" t="s">
        <v>86</v>
      </c>
      <c r="E39" s="19" t="s">
        <v>87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trixBook Code="C:\BIMATRIX\down\iGridDownload\A5D0CF993F664F429397FBE6D36E80C5.xlsx" Name="A5D0CF993F664F429397FBE6D36E80C5.xlsx" Description="" FullName="C:\BIMATRIX\down\iGridDownload\A5D0CF993F664F429397FBE6D36E80C5.xlsx" FolderCode="" LastModifyDate="0001-01-01 00:00:00" EnableCache="True" CacheOption="0" DocumentVersion="7.0.500.314" HidePrevSheetConditionControl="0" OpenByXLViewer="0">
  <Sheets>
    <Sheet Code="SHCB580E353E2822FE" Name="V1" ConditionSheetCode="">
      <RefreshProperty IsActivateRefresh="False" OnActivate="" OnRefresh="" BeforeMacro="" AfterMacro="" Password=""/>
    </Sheet>
    <Sheet Code="SHBB9C9D887277B5C2" Name="D1" ConditionSheetCode="">
      <RefreshProperty IsActivateRefresh="False" OnActivate="" OnRefresh="" BeforeMacro="" AfterMacro="" Password=""/>
    </Sheet>
    <Sheet Code="SH0692C160E1A61206" Name="P1" ConditionSheetCode="">
      <RefreshProperty IsActivateRefresh="False" OnActivate="" OnRefresh="" BeforeMacro="" AfterMacro="" Password=""/>
    </Sheet>
  </Sheets>
  <DataSets>
    <DataSet Code="DS6C8D25C3480DB84D" Name="MX_ORD" Description="" ConnectionCode="AUD_SAMPLE_DB" ConnectionName="AUD_SAMPLE_DB" SelectedSchemaName="" SourceType="3" LastModifyDate="2026-01-21 오후 1:24:18" RecordCount="0" ColumnCount="8" OutPutRangeClicked="False" LoadRefresh="False" UseiBIG="False" DBType="31" DataOnly="False" OwnerCode="aud_tft" ServiceID="aud_tft" IsMainMeta="False" UsePQ="False" UsePQBG="False">
      <ExecuteXML/>
      <SourceSQL><![CDATA[SELECT *
FROM OLIST_ORDERS
WHERE ORDER_STATUS = :VS_ORD_STS
LIMIT 25]]></SourceSQL>
      <SourceXML/>
      <BindSQL><![CDATA[SELECT *
FROM OLIST_ORDERS
WHERE ORDER_STATUS = 'delivered'
LIMIT 20]]></BindSQL>
      <RequestData/>
      <MappingFields><![CDATA[[]]]></MappingFields>
      <GMatrixInfo><![CDATA[null]]></GMatrixInfo>
      <Reference Code="DSREF6B13276AD2EAB788" TargetSheetName="D1" TargetAddress="'D1'!$A$1" OutputRangeAddress="'D1'!$A$1:$H$21">
        <DataOutputProperty OutputType="1" DisplayHeader="True" AutoFilter="True" AutoSpan="True" ClearSheet="True" KeepFormat="False" DataArrangeType="0"/>
      </Reference>
    </DataSet>
  </DataSets>
  <DatasetReference>
    <Dataset Code="DS6C8D25C3480DB84D">
      <References>
        <Reference Code="DSREF6B13276AD2EAB788" TargetSheetName="D1" TargetAddress="'D1'!$A$1" OutputRangeAddress="'D1'!$A$1:$H$21" DatasetCode="DS6C8D25C3480DB84D">
          <DataOutputProperty OutputType="1" DisplayHeader="True" AutoFilter="True" AutoSpan="True" ClearSheet="True" KeepFormat="False" DataArrangeType="0"/>
        </Reference>
      </References>
    </Dataset>
  </DatasetReference>
  <ConditionInfo/>
  <ActionPlanInfo><![CDATA[<ActionPlanModel xmlns="http://schemas.datacontract.org/2004/07/BIMATRIX.MATRIX.DesignerModule.Model.ActionPlan" xmlns:i="http://www.w3.org/2001/XMLSchema-instance"><Elements><ActionElementBase i:type="FolderElement"><Childs><ActionElementBase i:type="BookElement"><Childs/><ControlType>None</ControlType><Events><ActionEvent i:type="OpenDocumentCompleteEvent"><Actions><ActionItem i:type="MacroCallAction"><ASyncExecute>false</ASyncExecute><Description i:nil="true"/><Index>0</Index><IsFixed>true</IsFixed><Name>Call Macro</Name><Parameters xmlns:a="http://schemas.datacontract.org/2004/07/BIMATRIX.MATRIX.DesignerModule.Common"/></ActionItem><ActionItem i:type="RefreshAction"><ASyncExecute>true</ASyncExecute><Description i:nil="true"/><Index>0</Index><IsFixed>true</IsFixed><Name>Refresh</Name><Parameters xmlns:a="http://schemas.datacontract.org/2004/07/BIMATRIX.MATRIX.DesignerModule.Common"/></ActionItem><ActionItem i:type="MacroCallAction"><ASyncExecute>false</ASyncExecute><Description i:nil="true"/><Index>0</Index><IsFixed>true</IsFixed><Name>Call Macro</Name><Parameters xmlns:a="http://schemas.datacontract.org/2004/07/BIMATRIX.MATRIX.DesignerModule.Common"/></ActionItem></Actions><EventType>OpenDocumentComplete</EventType><WorkFlowXML i:nil="true"/></ActionEvent></Events><ID>Report</ID><IsFixed>true</IsFixed><Name>Report (Open)</Name><Type>Book</Type></ActionElementBase><ActionElementBase i:type="RefreshButtonElement"><Childs/><ControlType>RefreshButton</ControlType><Events><ActionEvent i:type="LButtonClickEvent"><Actions/><EventType>LButtonClick</EventType><WorkFlowXML>&lt;Activity x:Class="Click" xmlns="http://schemas.microsoft.com/netfx/2009/xaml/activities" xmlns:bmdi="clr-namespace:BIMATRIX.MATRIX.DesignerModule.Interface;assembly=BIMATRIX.MATRIX.DesignerModule" xmlns:bmdwa="clr-namespace:BIMATRIX.MATRIX.DesignerModule.WorkFlow.Activities;assembly=BIMATRIX.MATRIX.DesignerModule" xmlns:bmdwm="clr-namespace:BIMATRIX.MATRIX.DesignerModule.WorkFlow.Model;assembly=BIMATRIX.MATRIX.DesignerModule" xmlns:bmm="clr-namespace:BIMATRIX.MATRIX.MultiLanguagePack;assembly=BIMATRIX.MATRIX.MultiLanguagePack" xmlns:mva="clr-namespace:Microsoft.VisualBasic.Activities;assembly=System.Activities" xmlns:sads="http://schemas.microsoft.com/netfx/2010/xaml/activities/debugger" xmlns:scg="clr-namespace:System.Collections.Generic;assembly=mscorlib" xmlns:x="http://schemas.microsoft.com/winfx/2006/xaml"&gt;&#xD;
  &lt;x:Members&gt;&#xD;
    &lt;x:Property Name="app" Type="InArgument(bmdwm:XLWorkFlowModel)" /&gt;&#xD;
    &lt;x:Property Name="env" Type="InArgument(bmdi:IMatrixProperty)" /&gt;&#xD;
    &lt;x:Property Name="ActiveCell" Type="InArgument(bmdwm:XLActiveCell)" /&gt;&#xD;
    &lt;x:Property Name="ActiveSheet" Type="InArgument(bmdwm:XLActiveSheet)" /&gt;&#xD;
    &lt;x:Property Name="Strings" Type="InArgument(bmm:LanguageManager)" /&gt;&#xD;
    &lt;x:Property Name="ViewModel" Type="InArgument(bmdi:IMatrixViewModel)" /&gt;&#xD;
  &lt;/x:Members&gt;&#xD;
  &lt;mva:VisualBasic.Settings&gt;Assembly references and imported namespaces for internal implementation&lt;/mva:VisualBasic.Settings&gt;&#xD;
  &lt;Sequence DisplayName="Click"&gt;&#xD;
    &lt;Switch x:TypeArguments="x:String" DisplayName="조회 설정" Expression="[&amp;quot;V1&amp;quot;]"&gt;&#xD;
      &lt;Switch.Default&gt;&#xD;
        &lt;bmdwa:MessageBox SourceJson="{x:Null}" SourceXML="{x:Null}" ToolTipText="{x:Null}" Button="OK" Caption="{x:Null}" DefaultResult="None" DisplayName="MessageBox" Icon="None" LinkedCell="{x:Null}" Message="[Strings.msgNoDataset]" Options="{x:Null}" Result="{x:Null}" /&gt;&#xD;
      &lt;/Switch.Default&gt;&#xD;
      &lt;Sequence x:Key="D1" DisplayName="Refresh Sequence"&gt;&#xD;
        &lt;bmdwa:RefreshData SourceJson="{x:Null}" SourceXML="{x:Null}" ToolTipText="{x:Null}" DataSets="[&amp;quot;MX_ORD&amp;quot;]"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x:Key="V1"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x:Key="P1"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&lt;/Switch&gt;&#xD;
  &lt;/Sequence&gt;&#xD;
&lt;/Activity&gt;</WorkFlowXML></ActionEvent></Events><ID>Report_BTNRefresh</ID><IsFixed>true</IsFixed><Name>Refresh Button</Name><Type>Control</Type></ActionElementBase></Childs><ControlType>None</ControlType><Events/><ID>FLDReport</ID><IsFixed>true</IsFixed><Name>Report</Name><Type>Folder</Type></ActionElementBase><ActionElementBase i:type="FolderElement"><Childs/><ControlType>None</ControlType><Events/><ID>FLDObject</ID><IsFixed>true</IsFixed><Name>Object</Name><Type>Folder</Type></ActionElementBase></Elements><ExecutePlans xmlns:a="http://schemas.microsoft.com/2003/10/Serialization/Arrays"/></ActionPlanModel>]]></ActionPlanInfo>
  <ExecutePlanListInfo><![CDATA[<ExecutePlanList xmlns="http://schemas.datacontract.org/2004/07/BIMATRIX.MATRIX.DesignerModule.Model.CRUD" xmlns:i="http://www.w3.org/2001/XMLSchema-instance"><ExecuteList i:nil="true"/></ExecutePlanList>]]></ExecutePlanListInfo>
</MatrixBook>
</file>

<file path=customXml/itemProps1.xml><?xml version="1.0" encoding="utf-8"?>
<ds:datastoreItem xmlns:ds="http://schemas.openxmlformats.org/officeDocument/2006/customXml" ds:itemID="{EDD0B0D9-32EB-46D3-9980-0A5DF178DF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V1</vt:lpstr>
      <vt:lpstr>D1</vt:lpstr>
      <vt:lpstr>P1</vt:lpstr>
      <vt:lpstr>MX-GRID 사용 안내</vt:lpstr>
      <vt:lpstr>_AUTO_SIZE_</vt:lpstr>
      <vt:lpstr>_IGNORE_SHEET_</vt:lpstr>
      <vt:lpstr>VS_ORD_STS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2024-02-19T04:05:32Z</dcterms:created>
  <dcterms:modified xsi:type="dcterms:W3CDTF">2026-01-21T04:24:47Z</dcterms:modified>
</cp:coreProperties>
</file>