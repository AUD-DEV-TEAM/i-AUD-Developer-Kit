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C685E488-3557-45DD-99B2-92968F7BD460}" xr6:coauthVersionLast="36" xr6:coauthVersionMax="36" xr10:uidLastSave="{00000000-0000-0000-0000-000000000000}"/>
  <bookViews>
    <workbookView xWindow="38280" yWindow="-120" windowWidth="27870" windowHeight="16440" xr2:uid="{07605892-C7F0-44DB-A86F-DC90ED3F950E}"/>
  </bookViews>
  <sheets>
    <sheet name="V1" sheetId="2" r:id="rId1"/>
    <sheet name="T_차트" sheetId="9" r:id="rId2"/>
    <sheet name="D_BEP" sheetId="8" r:id="rId3"/>
    <sheet name="D_매출" sheetId="7" r:id="rId4"/>
    <sheet name="D_환율" sheetId="6" r:id="rId5"/>
    <sheet name="D_기준환율" sheetId="3" r:id="rId6"/>
    <sheet name="P1" sheetId="4" r:id="rId7"/>
    <sheet name="MX-GRID 사용 안내" sheetId="5" r:id="rId8"/>
  </sheets>
  <definedNames>
    <definedName name="_D_DG1">'V1'!$C$14:$I$19</definedName>
    <definedName name="_IGNORE_SHEET_">'MX-GRID 사용 안내'!$B$20</definedName>
    <definedName name="_VIEW_RANGE_1">'V1'!$A$2:$J$21</definedName>
    <definedName name="VS_DAY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E4" i="9"/>
  <c r="E5" i="9"/>
  <c r="E6" i="9"/>
  <c r="E7" i="9"/>
  <c r="E8" i="9"/>
  <c r="E9" i="9"/>
  <c r="E3" i="9"/>
  <c r="C3" i="9"/>
  <c r="F3" i="9"/>
  <c r="D4" i="9"/>
  <c r="D5" i="9"/>
  <c r="D6" i="9"/>
  <c r="D7" i="9"/>
  <c r="D8" i="9"/>
  <c r="D9" i="9"/>
  <c r="D3" i="9"/>
  <c r="C4" i="9"/>
  <c r="C5" i="9"/>
  <c r="C6" i="9"/>
  <c r="C7" i="9"/>
  <c r="C8" i="9"/>
  <c r="C9" i="9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I16" i="2"/>
  <c r="I17" i="2"/>
  <c r="I18" i="2"/>
  <c r="I19" i="2"/>
  <c r="I15" i="2"/>
  <c r="I20" i="2" s="1"/>
  <c r="E3" i="8"/>
  <c r="E4" i="8"/>
  <c r="E5" i="8"/>
  <c r="E6" i="8"/>
  <c r="E7" i="8"/>
  <c r="E8" i="8"/>
  <c r="E2" i="8"/>
  <c r="G15" i="2"/>
  <c r="D4" i="7"/>
  <c r="D18" i="7"/>
  <c r="D11" i="7"/>
  <c r="D25" i="7"/>
  <c r="D32" i="7"/>
  <c r="D39" i="7"/>
  <c r="D46" i="7"/>
  <c r="D44" i="7"/>
  <c r="D37" i="7"/>
  <c r="D30" i="7"/>
  <c r="D23" i="7"/>
  <c r="D16" i="7"/>
  <c r="D9" i="7"/>
  <c r="D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2" i="7"/>
  <c r="D10" i="7"/>
  <c r="D12" i="7"/>
  <c r="D13" i="7"/>
  <c r="D14" i="7"/>
  <c r="D15" i="7"/>
  <c r="D17" i="7"/>
  <c r="D19" i="7"/>
  <c r="D20" i="7"/>
  <c r="D21" i="7"/>
  <c r="D22" i="7"/>
  <c r="D24" i="7"/>
  <c r="D26" i="7"/>
  <c r="D27" i="7"/>
  <c r="D28" i="7"/>
  <c r="D29" i="7"/>
  <c r="D31" i="7"/>
  <c r="D33" i="7"/>
  <c r="D34" i="7"/>
  <c r="D35" i="7"/>
  <c r="D36" i="7"/>
  <c r="D38" i="7"/>
  <c r="D40" i="7"/>
  <c r="D41" i="7"/>
  <c r="D42" i="7"/>
  <c r="D43" i="7"/>
  <c r="D45" i="7"/>
  <c r="D47" i="7"/>
  <c r="D48" i="7"/>
  <c r="D49" i="7"/>
  <c r="D50" i="7"/>
  <c r="D3" i="7"/>
  <c r="D5" i="7"/>
  <c r="D6" i="7"/>
  <c r="D7" i="7"/>
  <c r="D8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2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I8" i="2" s="1"/>
  <c r="D6" i="6"/>
  <c r="H8" i="2" s="1"/>
  <c r="D5" i="6"/>
  <c r="G8" i="2" s="1"/>
  <c r="F19" i="2" s="1"/>
  <c r="D4" i="6"/>
  <c r="D3" i="6"/>
  <c r="E8" i="2" s="1"/>
  <c r="F16" i="2" s="1"/>
  <c r="D2" i="6"/>
  <c r="D8" i="2" s="1"/>
  <c r="F17" i="2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2" i="3"/>
  <c r="C8" i="2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I7" i="2" s="1"/>
  <c r="D42" i="3"/>
  <c r="H7" i="2" s="1"/>
  <c r="D41" i="3"/>
  <c r="G7" i="2" s="1"/>
  <c r="D40" i="3"/>
  <c r="F7" i="2" s="1"/>
  <c r="D39" i="3"/>
  <c r="E7" i="2" s="1"/>
  <c r="D38" i="3"/>
  <c r="D7" i="2" s="1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13" i="2"/>
  <c r="F8" i="2" l="1"/>
  <c r="F18" i="2" s="1"/>
  <c r="H18" i="2"/>
  <c r="H19" i="2"/>
  <c r="H17" i="2"/>
  <c r="H15" i="2"/>
  <c r="H16" i="2"/>
  <c r="H20" i="2"/>
  <c r="D16" i="2"/>
  <c r="G16" i="2" s="1"/>
  <c r="D18" i="2"/>
  <c r="D17" i="2"/>
  <c r="G17" i="2" s="1"/>
  <c r="D19" i="2"/>
  <c r="E19" i="2" s="1"/>
  <c r="D15" i="2"/>
  <c r="G18" i="2" l="1"/>
  <c r="G19" i="2"/>
  <c r="E18" i="2"/>
  <c r="E17" i="2"/>
  <c r="E16" i="2"/>
  <c r="E15" i="2"/>
  <c r="D20" i="2"/>
  <c r="G20" i="2" l="1"/>
  <c r="E20" i="2"/>
</calcChain>
</file>

<file path=xl/sharedStrings.xml><?xml version="1.0" encoding="utf-8"?>
<sst xmlns="http://schemas.openxmlformats.org/spreadsheetml/2006/main" count="523" uniqueCount="153">
  <si>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</si>
  <si>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</si>
  <si>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</si>
  <si>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</si>
  <si>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</si>
  <si>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</si>
  <si>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</si>
  <si>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</si>
  <si>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</si>
  <si>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</si>
  <si>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</si>
  <si>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</si>
  <si>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</si>
  <si>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</si>
  <si>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</si>
  <si>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</si>
  <si>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</si>
  <si>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</si>
  <si>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</si>
  <si>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</si>
  <si>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</si>
  <si>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</si>
  <si>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</si>
  <si>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_VIEW_AREA_??</t>
  </si>
  <si>
    <t>출력 대상 시트에서 화면의 정보를 읽어야 하는 영역을 지정합니다.</t>
  </si>
  <si>
    <t>MX-GRID 디자이너의 저장 속도와 서버의 처리 성능이 향상됩니다.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</si>
  <si>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</si>
  <si>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</si>
  <si>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</si>
  <si>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</si>
  <si>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</si>
  <si>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</si>
  <si>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</si>
  <si>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</si>
  <si>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</si>
  <si>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</si>
  <si>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</si>
  <si>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</si>
  <si>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</si>
  <si>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</si>
  <si>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</si>
  <si>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</si>
  <si>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</si>
  <si>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</si>
  <si>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</si>
  <si>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</si>
  <si>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</si>
  <si>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</si>
  <si>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</si>
  <si>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</si>
  <si>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</si>
  <si>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</si>
  <si>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</si>
  <si>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</si>
  <si>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</si>
  <si>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</si>
  <si>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</si>
  <si>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</si>
  <si>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</si>
  <si>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</si>
  <si>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</si>
  <si>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</si>
  <si>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</si>
  <si>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</si>
  <si>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</si>
  <si>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</si>
  <si>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</si>
  <si>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</si>
  <si>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</si>
  <si>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</si>
  <si>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</si>
  <si>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</si>
  <si>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</si>
  <si>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</si>
  <si>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</si>
  <si>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</si>
  <si>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</si>
  <si>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</si>
  <si>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</si>
  <si>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</si>
  <si>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</si>
  <si>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</si>
  <si>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</si>
  <si>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</si>
  <si>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</si>
  <si>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</si>
  <si>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</si>
  <si>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</si>
  <si>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</si>
  <si>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</si>
  <si>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</si>
  <si>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</si>
  <si>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</si>
  <si>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</si>
  <si>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</si>
  <si>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</si>
  <si>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</si>
  <si>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</si>
  <si>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</si>
  <si>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</si>
  <si>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</si>
  <si>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</si>
  <si>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구분</t>
    <phoneticPr fontId="1" type="noConversion"/>
  </si>
  <si>
    <t>통화별 매출</t>
    <phoneticPr fontId="1" type="noConversion"/>
  </si>
  <si>
    <t>KRW 매출</t>
    <phoneticPr fontId="1" type="noConversion"/>
  </si>
  <si>
    <t>환율(원)</t>
    <phoneticPr fontId="1" type="noConversion"/>
  </si>
  <si>
    <t>매출환차</t>
    <phoneticPr fontId="1" type="noConversion"/>
  </si>
  <si>
    <t>이익률</t>
    <phoneticPr fontId="1" type="noConversion"/>
  </si>
  <si>
    <t>BEP</t>
    <phoneticPr fontId="1" type="noConversion"/>
  </si>
  <si>
    <t>KRW</t>
    <phoneticPr fontId="1" type="noConversion"/>
  </si>
  <si>
    <t>JPY</t>
    <phoneticPr fontId="1" type="noConversion"/>
  </si>
  <si>
    <t>USD</t>
    <phoneticPr fontId="1" type="noConversion"/>
  </si>
  <si>
    <t>EUR</t>
    <phoneticPr fontId="1" type="noConversion"/>
  </si>
  <si>
    <t>CNY</t>
    <phoneticPr fontId="1" type="noConversion"/>
  </si>
  <si>
    <t>총합계</t>
    <phoneticPr fontId="1" type="noConversion"/>
  </si>
  <si>
    <t>기준환율</t>
    <phoneticPr fontId="1" type="noConversion"/>
  </si>
  <si>
    <t>국가코드</t>
    <phoneticPr fontId="1" type="noConversion"/>
  </si>
  <si>
    <t>국가명</t>
    <phoneticPr fontId="1" type="noConversion"/>
  </si>
  <si>
    <t>001</t>
    <phoneticPr fontId="1" type="noConversion"/>
  </si>
  <si>
    <t>002</t>
  </si>
  <si>
    <t>003</t>
  </si>
  <si>
    <t>004</t>
  </si>
  <si>
    <t>005</t>
  </si>
  <si>
    <t>INR</t>
    <phoneticPr fontId="1" type="noConversion"/>
  </si>
  <si>
    <t>MXN</t>
    <phoneticPr fontId="1" type="noConversion"/>
  </si>
  <si>
    <t>006</t>
    <phoneticPr fontId="1" type="noConversion"/>
  </si>
  <si>
    <t>VS_DAY</t>
  </si>
  <si>
    <t>년월&amp;국가코드</t>
  </si>
  <si>
    <t>년월&amp;국가코드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</si>
  <si>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</si>
  <si>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</si>
  <si>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</si>
  <si>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</si>
  <si>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기준일자</t>
    <phoneticPr fontId="1" type="noConversion"/>
  </si>
  <si>
    <t>기준년월</t>
    <phoneticPr fontId="1" type="noConversion"/>
  </si>
  <si>
    <t>환율</t>
    <phoneticPr fontId="1" type="noConversion"/>
  </si>
  <si>
    <t>매출</t>
    <phoneticPr fontId="1" type="noConversion"/>
  </si>
  <si>
    <t>007</t>
    <phoneticPr fontId="1" type="noConversion"/>
  </si>
  <si>
    <t>기준년월&amp;국가코드</t>
    <phoneticPr fontId="1" type="noConversion"/>
  </si>
  <si>
    <t>-</t>
    <phoneticPr fontId="1" type="noConversion"/>
  </si>
  <si>
    <t>이익</t>
    <phoneticPr fontId="1" type="noConversion"/>
  </si>
  <si>
    <t>기준월 이내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</si>
  <si>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</si>
  <si>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</si>
  <si>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</si>
  <si>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</si>
  <si>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</si>
  <si>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</si>
  <si>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</si>
  <si>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기준환율 매출</t>
    <phoneticPr fontId="1" type="noConversion"/>
  </si>
  <si>
    <t>기준환율 이익률</t>
    <phoneticPr fontId="1" type="noConversion"/>
  </si>
  <si>
    <t>실적환율 매출</t>
    <phoneticPr fontId="1" type="noConversion"/>
  </si>
  <si>
    <t>실적환율 이익률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</si>
</sst>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6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11" xfId="0" applyNumberFormat="1" applyBorder="1" applyAlignment="1">
      <alignment horizontal="right" vertical="center"/>
    </xf>
    <xf numFmtId="176" fontId="0" fillId="0" borderId="13" xfId="0" applyNumberFormat="1" applyBorder="1" applyAlignment="1">
      <alignment horizontal="right" vertical="center"/>
    </xf>
    <xf numFmtId="176" fontId="0" fillId="8" borderId="11" xfId="0" applyNumberFormat="1" applyFill="1" applyBorder="1" applyAlignment="1">
      <alignment horizontal="right" vertical="center"/>
    </xf>
    <xf numFmtId="176" fontId="0" fillId="8" borderId="13" xfId="0" applyNumberFormat="1" applyFill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0" fontId="7" fillId="8" borderId="1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76" fontId="0" fillId="9" borderId="11" xfId="0" applyNumberFormat="1" applyFill="1" applyBorder="1" applyAlignment="1">
      <alignment horizontal="right" vertical="center"/>
    </xf>
    <xf numFmtId="177" fontId="0" fillId="9" borderId="11" xfId="0" applyNumberFormat="1" applyFill="1" applyBorder="1" applyAlignment="1">
      <alignment horizontal="right" vertical="center"/>
    </xf>
    <xf numFmtId="176" fontId="0" fillId="9" borderId="13" xfId="0" applyNumberFormat="1" applyFill="1" applyBorder="1" applyAlignment="1">
      <alignment horizontal="right" vertical="center"/>
    </xf>
    <xf numFmtId="0" fontId="7" fillId="7" borderId="1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02D2-1157-45C8-BA56-33AA314206FC}">
  <dimension ref="B1:P22"/>
  <sheetViews>
    <sheetView showGridLines="0" tabSelected="1" zoomScaleNormal="100" workbookViewId="0">
      <selection activeCell="D22" sqref="D22"/>
    </sheetView>
  </sheetViews>
  <sheetFormatPr defaultRowHeight="16.5" x14ac:dyDescent="0.3"/>
  <cols>
    <col min="1" max="1" width="1.625" customWidth="1"/>
    <col min="2" max="2" width="0" hidden="1" customWidth="1"/>
    <col min="3" max="3" width="16.25" bestFit="1" customWidth="1"/>
    <col min="4" max="9" width="16.625" customWidth="1"/>
    <col min="10" max="10" width="1.625" customWidth="1"/>
    <col min="11" max="16" width="15.625" customWidth="1"/>
    <col min="17" max="17" width="1.625" customWidth="1"/>
  </cols>
  <sheetData>
    <row r="1" spans="2:16" ht="15" customHeight="1" x14ac:dyDescent="0.3"/>
    <row r="2" spans="2:16" ht="3" customHeight="1" x14ac:dyDescent="0.3"/>
    <row r="3" spans="2:16" s="28" customFormat="1" ht="18" hidden="1" customHeight="1" x14ac:dyDescent="0.3">
      <c r="D3" s="30" t="s">
        <v>118</v>
      </c>
      <c r="E3" s="30" t="s">
        <v>129</v>
      </c>
      <c r="F3" s="30" t="s">
        <v>130</v>
      </c>
      <c r="G3" s="30" t="s">
        <v>131</v>
      </c>
      <c r="H3" s="30" t="s">
        <v>132</v>
      </c>
      <c r="I3" s="30" t="s">
        <v>125</v>
      </c>
      <c r="K3" s="51"/>
      <c r="L3" s="51"/>
      <c r="M3" s="51"/>
      <c r="N3" s="51"/>
      <c r="O3" s="51"/>
      <c r="P3" s="51"/>
    </row>
    <row r="4" spans="2:16" s="35" customFormat="1" ht="5.0999999999999996" customHeight="1" x14ac:dyDescent="0.3">
      <c r="D4" s="30"/>
      <c r="E4" s="30"/>
      <c r="F4" s="30"/>
      <c r="G4" s="30"/>
      <c r="H4" s="30"/>
      <c r="I4" s="30"/>
      <c r="K4" s="51"/>
      <c r="L4" s="51"/>
      <c r="M4" s="51"/>
      <c r="N4" s="51"/>
      <c r="O4" s="51"/>
      <c r="P4" s="51"/>
    </row>
    <row r="5" spans="2:16" s="35" customFormat="1" ht="5.0999999999999996" customHeight="1" x14ac:dyDescent="0.3">
      <c r="D5" s="30"/>
      <c r="E5" s="30"/>
      <c r="F5" s="30"/>
      <c r="G5" s="30"/>
      <c r="H5" s="30"/>
      <c r="I5" s="30"/>
      <c r="K5" s="51"/>
      <c r="L5" s="51"/>
      <c r="M5" s="51"/>
      <c r="N5" s="51"/>
      <c r="O5" s="51"/>
      <c r="P5" s="51"/>
    </row>
    <row r="6" spans="2:16" ht="23.1" customHeight="1" x14ac:dyDescent="0.3">
      <c r="C6" s="50" t="s">
        <v>115</v>
      </c>
      <c r="D6" s="42" t="s">
        <v>111</v>
      </c>
      <c r="E6" s="42" t="s">
        <v>110</v>
      </c>
      <c r="F6" s="42" t="s">
        <v>112</v>
      </c>
      <c r="G6" s="42" t="s">
        <v>113</v>
      </c>
      <c r="H6" s="42" t="s">
        <v>123</v>
      </c>
      <c r="I6" s="43" t="s">
        <v>124</v>
      </c>
      <c r="K6" s="51"/>
      <c r="L6" s="51"/>
      <c r="M6" s="51"/>
      <c r="N6" s="51"/>
      <c r="O6" s="51"/>
      <c r="P6" s="51"/>
    </row>
    <row r="7" spans="2:16" ht="21" customHeight="1" x14ac:dyDescent="0.3">
      <c r="C7" s="50"/>
      <c r="D7" s="36">
        <f ca="1">IFERROR(INDEX(D_기준환율!$D:$D, MATCH(LEFT(VS_DAY,6)&amp;'V1'!D$3, D_기준환율!$E:$E, 0)), "")</f>
        <v>1332</v>
      </c>
      <c r="E7" s="36">
        <f ca="1">IFERROR(INDEX(D_기준환율!$D:$D, MATCH(LEFT(VS_DAY,6)&amp;'V1'!E$3, D_기준환율!$E:$E, 0)), "")</f>
        <v>11</v>
      </c>
      <c r="F7" s="36">
        <f ca="1">IFERROR(INDEX(D_기준환율!$D:$D, MATCH(LEFT(VS_DAY,6)&amp;'V1'!F$3, D_기준환율!$E:$E, 0)), "")</f>
        <v>1545</v>
      </c>
      <c r="G7" s="36">
        <f ca="1">IFERROR(INDEX(D_기준환율!$D:$D, MATCH(LEFT(VS_DAY,6)&amp;'V1'!G$3, D_기준환율!$E:$E, 0)), "")</f>
        <v>83</v>
      </c>
      <c r="H7" s="36">
        <f ca="1">IFERROR(INDEX(D_기준환율!$D:$D, MATCH(LEFT(VS_DAY,6)&amp;'V1'!H$3, D_기준환율!$E:$E, 0)), "")</f>
        <v>16</v>
      </c>
      <c r="I7" s="37">
        <f ca="1">IFERROR(INDEX(D_기준환율!$D:$D, MATCH(LEFT(VS_DAY,6)&amp;'V1'!I$3, D_기준환율!$E:$E, 0)), "")</f>
        <v>72</v>
      </c>
      <c r="K7" s="51"/>
      <c r="L7" s="51"/>
      <c r="M7" s="51"/>
      <c r="N7" s="51"/>
      <c r="O7" s="51"/>
      <c r="P7" s="51"/>
    </row>
    <row r="8" spans="2:16" ht="21" customHeight="1" x14ac:dyDescent="0.3">
      <c r="C8" s="41" t="str">
        <f>VALUE(MID(VS_DAY,5,2)) &amp; "월" &amp; VALUE(RIGHT(VS_DAY, 2)) &amp; "일 마감기준"</f>
        <v>7월3일 마감기준</v>
      </c>
      <c r="D8" s="38">
        <f ca="1">IFERROR(INDEX(D_환율!$D:$D, MATCH(VS_DAY&amp;'V1'!D$3, D_환율!$E:$E, 0)), "")</f>
        <v>1400</v>
      </c>
      <c r="E8" s="38">
        <f ca="1">IFERROR(INDEX(D_환율!$D:$D, MATCH(VS_DAY&amp;'V1'!E$3, D_환율!$E:$E, 0)), "")</f>
        <v>8</v>
      </c>
      <c r="F8" s="38">
        <f ca="1">IFERROR(INDEX(D_환율!$D:$D, MATCH(VS_DAY&amp;'V1'!F$3, D_환율!$E:$E, 0)), "")</f>
        <v>1588</v>
      </c>
      <c r="G8" s="38">
        <f ca="1">IFERROR(INDEX(D_환율!$D:$D, MATCH(VS_DAY&amp;'V1'!G$3, D_환율!$E:$E, 0)), "")</f>
        <v>80</v>
      </c>
      <c r="H8" s="38">
        <f ca="1">IFERROR(INDEX(D_환율!$D:$D, MATCH(VS_DAY&amp;'V1'!H$3, D_환율!$E:$E, 0)), "")</f>
        <v>17</v>
      </c>
      <c r="I8" s="39">
        <f ca="1">IFERROR(INDEX(D_환율!$D:$D, MATCH(VS_DAY&amp;'V1'!I$3, D_환율!$E:$E, 0)), "")</f>
        <v>67</v>
      </c>
      <c r="K8" s="51"/>
      <c r="L8" s="51"/>
      <c r="M8" s="51"/>
      <c r="N8" s="51"/>
      <c r="O8" s="51"/>
      <c r="P8" s="51"/>
    </row>
    <row r="9" spans="2:16" x14ac:dyDescent="0.3">
      <c r="K9" s="51"/>
      <c r="L9" s="51"/>
      <c r="M9" s="51"/>
      <c r="N9" s="51"/>
      <c r="O9" s="51"/>
      <c r="P9" s="51"/>
    </row>
    <row r="10" spans="2:16" ht="5.0999999999999996" customHeight="1" x14ac:dyDescent="0.3">
      <c r="K10" s="51"/>
      <c r="L10" s="51"/>
      <c r="M10" s="51"/>
      <c r="N10" s="51"/>
      <c r="O10" s="51"/>
      <c r="P10" s="51"/>
    </row>
    <row r="11" spans="2:16" x14ac:dyDescent="0.3">
      <c r="I11" s="34"/>
      <c r="K11" s="51"/>
      <c r="L11" s="51"/>
      <c r="M11" s="51"/>
      <c r="N11" s="51"/>
      <c r="O11" s="51"/>
      <c r="P11" s="51"/>
    </row>
    <row r="12" spans="2:16" ht="5.0999999999999996" customHeight="1" x14ac:dyDescent="0.3">
      <c r="I12" s="34"/>
      <c r="K12" s="51"/>
      <c r="L12" s="51"/>
      <c r="M12" s="51"/>
      <c r="N12" s="51"/>
      <c r="O12" s="51"/>
      <c r="P12" s="51"/>
    </row>
    <row r="13" spans="2:16" ht="23.1" customHeight="1" x14ac:dyDescent="0.3">
      <c r="C13" s="52" t="str">
        <f>LEFT(VS_DAY,4) &amp; "년 누계기준"</f>
        <v>2025년 누계기준</v>
      </c>
      <c r="D13" s="52"/>
      <c r="E13" s="52"/>
      <c r="F13" s="52"/>
      <c r="G13" s="52"/>
      <c r="H13" s="52"/>
      <c r="I13" s="52"/>
      <c r="K13" s="51"/>
      <c r="L13" s="51"/>
      <c r="M13" s="51"/>
      <c r="N13" s="51"/>
      <c r="O13" s="51"/>
      <c r="P13" s="51"/>
    </row>
    <row r="14" spans="2:16" ht="23.1" customHeight="1" x14ac:dyDescent="0.3">
      <c r="C14" s="48" t="s">
        <v>102</v>
      </c>
      <c r="D14" s="42" t="s">
        <v>103</v>
      </c>
      <c r="E14" s="42" t="s">
        <v>104</v>
      </c>
      <c r="F14" s="42" t="s">
        <v>105</v>
      </c>
      <c r="G14" s="42" t="s">
        <v>106</v>
      </c>
      <c r="H14" s="42" t="s">
        <v>107</v>
      </c>
      <c r="I14" s="43" t="s">
        <v>108</v>
      </c>
      <c r="J14" s="28"/>
      <c r="K14" s="51"/>
      <c r="L14" s="51"/>
      <c r="M14" s="51"/>
      <c r="N14" s="51"/>
      <c r="O14" s="51"/>
      <c r="P14" s="51"/>
    </row>
    <row r="15" spans="2:16" ht="21" customHeight="1" x14ac:dyDescent="0.3">
      <c r="B15" s="29" t="s">
        <v>137</v>
      </c>
      <c r="C15" s="49" t="s">
        <v>109</v>
      </c>
      <c r="D15" s="36">
        <f ca="1">IFERROR(SUMIFS(D_매출!D:D, D_매출!F:F, TRUE, D_매출!B:B, 'V1'!$B15), "")</f>
        <v>1190</v>
      </c>
      <c r="E15" s="36">
        <f ca="1">D15</f>
        <v>1190</v>
      </c>
      <c r="F15" s="36">
        <v>1</v>
      </c>
      <c r="G15" s="36">
        <f>0</f>
        <v>0</v>
      </c>
      <c r="H15" s="40">
        <f ca="1">IFERROR(SUMIFS(D_매출!E:E, D_매출!F:F, TRUE, D_매출!B:B, 'V1'!$B15)/SUMIFS(D_매출!D:D, D_매출!F:F, TRUE, D_매출!B:B, 'V1'!$B15), "")</f>
        <v>0.55462184873949583</v>
      </c>
      <c r="I15" s="37">
        <f>IFERROR(INDEX(D_BEP!D:D, MATCH(LEFT(VS_DAY,6)&amp;'V1'!B15, D_BEP!E:E, 0)), "")</f>
        <v>21736</v>
      </c>
      <c r="J15" s="28"/>
      <c r="K15" s="51"/>
      <c r="L15" s="51"/>
      <c r="M15" s="51"/>
      <c r="N15" s="51"/>
      <c r="O15" s="51"/>
      <c r="P15" s="51"/>
    </row>
    <row r="16" spans="2:16" ht="21" customHeight="1" x14ac:dyDescent="0.3">
      <c r="B16" s="29" t="s">
        <v>129</v>
      </c>
      <c r="C16" s="49" t="s">
        <v>110</v>
      </c>
      <c r="D16" s="36">
        <f ca="1">IFERROR(SUMIFS(D_매출!D:D, D_매출!F:F, TRUE, D_매출!B:B, 'V1'!$B16), "")</f>
        <v>581</v>
      </c>
      <c r="E16" s="36">
        <f ca="1">D16*E7</f>
        <v>6391</v>
      </c>
      <c r="F16" s="36">
        <f ca="1">E8</f>
        <v>8</v>
      </c>
      <c r="G16" s="36">
        <f ca="1">IFERROR($D16*(E$8-E$7), "")</f>
        <v>-1743</v>
      </c>
      <c r="H16" s="40">
        <f ca="1">IFERROR(SUMIFS(D_매출!E:E, D_매출!F:F, TRUE, D_매출!B:B, 'V1'!$B16)/SUMIFS(D_매출!D:D, D_매출!F:F, TRUE, D_매출!B:B, 'V1'!$B16), "")</f>
        <v>1.5783132530120483</v>
      </c>
      <c r="I16" s="37">
        <f>IFERROR(INDEX(D_BEP!D:D, MATCH(LEFT(VS_DAY,6)&amp;'V1'!B16, D_BEP!E:E, 0)), "")</f>
        <v>10000</v>
      </c>
      <c r="J16" s="28"/>
      <c r="K16" s="51"/>
      <c r="L16" s="51"/>
      <c r="M16" s="51"/>
      <c r="N16" s="51"/>
      <c r="O16" s="51"/>
      <c r="P16" s="51"/>
    </row>
    <row r="17" spans="2:16" ht="21" customHeight="1" x14ac:dyDescent="0.3">
      <c r="B17" s="29" t="s">
        <v>118</v>
      </c>
      <c r="C17" s="49" t="s">
        <v>111</v>
      </c>
      <c r="D17" s="36">
        <f ca="1">IFERROR(SUMIFS(D_매출!D:D, D_매출!F:F, TRUE, D_매출!B:B, 'V1'!$B17), "")</f>
        <v>127</v>
      </c>
      <c r="E17" s="36">
        <f ca="1">D17*D7</f>
        <v>169164</v>
      </c>
      <c r="F17" s="36">
        <f ca="1">D8</f>
        <v>1400</v>
      </c>
      <c r="G17" s="36">
        <f ca="1">IFERROR($D17*(D$8-D$7), "")</f>
        <v>8636</v>
      </c>
      <c r="H17" s="40">
        <f ca="1">IFERROR(SUMIFS(D_매출!E:E, D_매출!F:F, TRUE, D_매출!B:B, 'V1'!$B17)/SUMIFS(D_매출!D:D, D_매출!F:F, TRUE, D_매출!B:B, 'V1'!$B17), "")</f>
        <v>0.45669291338582679</v>
      </c>
      <c r="I17" s="37">
        <f>IFERROR(INDEX(D_BEP!D:D, MATCH(LEFT(VS_DAY,6)&amp;'V1'!B17, D_BEP!E:E, 0)), "")</f>
        <v>150000</v>
      </c>
      <c r="J17" s="28"/>
      <c r="K17" s="51"/>
      <c r="L17" s="51"/>
      <c r="M17" s="51"/>
      <c r="N17" s="51"/>
      <c r="O17" s="51"/>
      <c r="P17" s="51"/>
    </row>
    <row r="18" spans="2:16" ht="21" customHeight="1" x14ac:dyDescent="0.3">
      <c r="B18" s="29" t="s">
        <v>130</v>
      </c>
      <c r="C18" s="49" t="s">
        <v>112</v>
      </c>
      <c r="D18" s="36">
        <f ca="1">IFERROR(SUMIFS(D_매출!D:D, D_매출!F:F, TRUE, D_매출!B:B, 'V1'!$B18), "")</f>
        <v>117</v>
      </c>
      <c r="E18" s="36">
        <f ca="1">D18*F7</f>
        <v>180765</v>
      </c>
      <c r="F18" s="36">
        <f ca="1">F8</f>
        <v>1588</v>
      </c>
      <c r="G18" s="36">
        <f ca="1">IFERROR($D18*(F$8-F$7), "")</f>
        <v>5031</v>
      </c>
      <c r="H18" s="40">
        <f ca="1">IFERROR(SUMIFS(D_매출!E:E, D_매출!F:F, TRUE, D_매출!B:B, 'V1'!$B18)/SUMIFS(D_매출!D:D, D_매출!F:F, TRUE, D_매출!B:B, 'V1'!$B18), "")</f>
        <v>0.61538461538461542</v>
      </c>
      <c r="I18" s="37">
        <f>IFERROR(INDEX(D_BEP!D:D, MATCH(LEFT(VS_DAY,6)&amp;'V1'!B18, D_BEP!E:E, 0)), "")</f>
        <v>130000</v>
      </c>
      <c r="J18" s="28"/>
      <c r="K18" s="51"/>
      <c r="L18" s="51"/>
      <c r="M18" s="51"/>
      <c r="N18" s="51"/>
      <c r="O18" s="51"/>
      <c r="P18" s="51"/>
    </row>
    <row r="19" spans="2:16" ht="21" customHeight="1" x14ac:dyDescent="0.3">
      <c r="B19" s="29" t="s">
        <v>131</v>
      </c>
      <c r="C19" s="49" t="s">
        <v>113</v>
      </c>
      <c r="D19" s="36">
        <f ca="1">IFERROR(SUMIFS(D_매출!D:D, D_매출!F:F, TRUE, D_매출!B:B, 'V1'!$B19), "")</f>
        <v>715</v>
      </c>
      <c r="E19" s="36">
        <f ca="1">D19*G7</f>
        <v>59345</v>
      </c>
      <c r="F19" s="36">
        <f ca="1">G8</f>
        <v>80</v>
      </c>
      <c r="G19" s="36">
        <f ca="1">IFERROR($D18*(G$8-G$7), "")</f>
        <v>-351</v>
      </c>
      <c r="H19" s="40">
        <f ca="1">IFERROR(SUMIFS(D_매출!E:E, D_매출!F:F, TRUE, D_매출!B:B, 'V1'!$B19)/SUMIFS(D_매출!D:D, D_매출!F:F, TRUE, D_매출!B:B, 'V1'!$B19), "")</f>
        <v>1.0251748251748252</v>
      </c>
      <c r="I19" s="37">
        <f>IFERROR(INDEX(D_BEP!D:D, MATCH(LEFT(VS_DAY,6)&amp;'V1'!B19, D_BEP!E:E, 0)), "")</f>
        <v>50000</v>
      </c>
      <c r="J19" s="28"/>
      <c r="K19" s="51"/>
      <c r="L19" s="51"/>
      <c r="M19" s="51"/>
      <c r="N19" s="51"/>
      <c r="O19" s="51"/>
      <c r="P19" s="51"/>
    </row>
    <row r="20" spans="2:16" ht="21" customHeight="1" x14ac:dyDescent="0.3">
      <c r="C20" s="44" t="s">
        <v>114</v>
      </c>
      <c r="D20" s="45">
        <f ca="1">IFERROR(SUM(D15:D19), "")</f>
        <v>2730</v>
      </c>
      <c r="E20" s="45">
        <f ca="1">IFERROR(SUM(E15:E19), "")</f>
        <v>416855</v>
      </c>
      <c r="F20" s="45" t="s">
        <v>139</v>
      </c>
      <c r="G20" s="45">
        <f ca="1">IFERROR(SUM(G15:G19), "")</f>
        <v>11573</v>
      </c>
      <c r="H20" s="46">
        <f ca="1">IFERROR(SUMIFS(D_매출!E:E, D_매출!F:F, TRUE)/SUMIFS(D_매출!D:D, D_매출!F:F, TRUE), "")</f>
        <v>0.89947322212467073</v>
      </c>
      <c r="I20" s="47">
        <f>IFERROR(SUM(I15:I19), "")</f>
        <v>361736</v>
      </c>
      <c r="J20" s="28"/>
      <c r="K20" s="51"/>
      <c r="L20" s="51"/>
      <c r="M20" s="51"/>
      <c r="N20" s="51"/>
      <c r="O20" s="51"/>
      <c r="P20" s="51"/>
    </row>
    <row r="21" spans="2:16" ht="10.15" customHeight="1" x14ac:dyDescent="0.3">
      <c r="C21" s="28"/>
      <c r="D21" s="28"/>
      <c r="E21" s="28"/>
      <c r="F21" s="28"/>
      <c r="G21" s="28"/>
      <c r="H21" s="28"/>
      <c r="I21" s="28"/>
      <c r="J21" s="28"/>
    </row>
    <row r="22" spans="2:16" x14ac:dyDescent="0.3">
      <c r="D22" s="53"/>
    </row>
  </sheetData>
  <mergeCells count="3">
    <mergeCell ref="C13:I13"/>
    <mergeCell ref="C6:C7"/>
    <mergeCell ref="K3:P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DE5A-656C-401A-9237-E85A859C6579}">
  <dimension ref="B2:F9"/>
  <sheetViews>
    <sheetView showGridLines="0" workbookViewId="0">
      <selection activeCell="C23" sqref="C23"/>
    </sheetView>
  </sheetViews>
  <sheetFormatPr defaultRowHeight="16.5" x14ac:dyDescent="0.3"/>
  <cols>
    <col min="3" max="3" width="13" bestFit="1" customWidth="1"/>
    <col min="4" max="4" width="15" bestFit="1" customWidth="1"/>
    <col min="5" max="5" width="13" bestFit="1" customWidth="1"/>
    <col min="6" max="6" width="15" bestFit="1" customWidth="1"/>
  </cols>
  <sheetData>
    <row r="2" spans="2:6" x14ac:dyDescent="0.3">
      <c r="B2" s="28" t="s">
        <v>134</v>
      </c>
      <c r="C2" s="28" t="s">
        <v>149</v>
      </c>
      <c r="D2" s="28" t="s">
        <v>150</v>
      </c>
      <c r="E2" s="28" t="s">
        <v>151</v>
      </c>
      <c r="F2" s="28" t="s">
        <v>152</v>
      </c>
    </row>
    <row r="3" spans="2:6" x14ac:dyDescent="0.3">
      <c r="B3" s="28" t="s">
        <v>142</v>
      </c>
      <c r="C3" s="28">
        <f ca="1">RANDBETWEEN(1000,5000)</f>
        <v>2579</v>
      </c>
      <c r="D3" s="28">
        <f ca="1">RAND()*(1.5-0.8)+0.8</f>
        <v>1.0334964051744231</v>
      </c>
      <c r="E3" s="28">
        <f ca="1">RANDBETWEEN(1000,5000)</f>
        <v>2971</v>
      </c>
      <c r="F3" s="28">
        <f ca="1">RAND()*(1.5-0.8)+0.8</f>
        <v>0.98544590260302434</v>
      </c>
    </row>
    <row r="4" spans="2:6" x14ac:dyDescent="0.3">
      <c r="B4" s="28" t="s">
        <v>143</v>
      </c>
      <c r="C4" s="28">
        <f t="shared" ref="C4:C9" ca="1" si="0">RANDBETWEEN(1000,5000)</f>
        <v>3931</v>
      </c>
      <c r="D4" s="28">
        <f t="shared" ref="D4:D9" ca="1" si="1">RAND()*(1.5-0.8)+0.8</f>
        <v>1.206817343604784</v>
      </c>
      <c r="E4" s="28">
        <f t="shared" ref="E4:E9" ca="1" si="2">RANDBETWEEN(1000,5000)</f>
        <v>4197</v>
      </c>
      <c r="F4" s="28">
        <f t="shared" ref="F4:F9" ca="1" si="3">RAND()*(1.5-0.8)+0.8</f>
        <v>0.82350988666719083</v>
      </c>
    </row>
    <row r="5" spans="2:6" x14ac:dyDescent="0.3">
      <c r="B5" s="28" t="s">
        <v>144</v>
      </c>
      <c r="C5" s="28">
        <f t="shared" ca="1" si="0"/>
        <v>3127</v>
      </c>
      <c r="D5" s="28">
        <f t="shared" ca="1" si="1"/>
        <v>1.2898412775804722</v>
      </c>
      <c r="E5" s="28">
        <f t="shared" ca="1" si="2"/>
        <v>3184</v>
      </c>
      <c r="F5" s="28">
        <f t="shared" ca="1" si="3"/>
        <v>0.89707477001442837</v>
      </c>
    </row>
    <row r="6" spans="2:6" x14ac:dyDescent="0.3">
      <c r="B6" s="28" t="s">
        <v>145</v>
      </c>
      <c r="C6" s="28">
        <f t="shared" ca="1" si="0"/>
        <v>2879</v>
      </c>
      <c r="D6" s="28">
        <f t="shared" ca="1" si="1"/>
        <v>1.4806892217987688</v>
      </c>
      <c r="E6" s="28">
        <f t="shared" ca="1" si="2"/>
        <v>3324</v>
      </c>
      <c r="F6" s="28">
        <f t="shared" ca="1" si="3"/>
        <v>1.2114908310533283</v>
      </c>
    </row>
    <row r="7" spans="2:6" x14ac:dyDescent="0.3">
      <c r="B7" s="28" t="s">
        <v>146</v>
      </c>
      <c r="C7" s="28">
        <f t="shared" ca="1" si="0"/>
        <v>4280</v>
      </c>
      <c r="D7" s="28">
        <f t="shared" ca="1" si="1"/>
        <v>1.3648773898317976</v>
      </c>
      <c r="E7" s="28">
        <f t="shared" ca="1" si="2"/>
        <v>1325</v>
      </c>
      <c r="F7" s="28">
        <f t="shared" ca="1" si="3"/>
        <v>1.1819297018072474</v>
      </c>
    </row>
    <row r="8" spans="2:6" x14ac:dyDescent="0.3">
      <c r="B8" s="28" t="s">
        <v>147</v>
      </c>
      <c r="C8" s="28">
        <f t="shared" ca="1" si="0"/>
        <v>1190</v>
      </c>
      <c r="D8" s="28">
        <f t="shared" ca="1" si="1"/>
        <v>1.0909996933540329</v>
      </c>
      <c r="E8" s="28">
        <f t="shared" ca="1" si="2"/>
        <v>1406</v>
      </c>
      <c r="F8" s="28">
        <f t="shared" ca="1" si="3"/>
        <v>1.2178875290912738</v>
      </c>
    </row>
    <row r="9" spans="2:6" x14ac:dyDescent="0.3">
      <c r="B9" s="28" t="s">
        <v>148</v>
      </c>
      <c r="C9" s="28">
        <f t="shared" ca="1" si="0"/>
        <v>1408</v>
      </c>
      <c r="D9" s="28">
        <f t="shared" ca="1" si="1"/>
        <v>1.4267761411732067</v>
      </c>
      <c r="E9" s="28">
        <f t="shared" ca="1" si="2"/>
        <v>2125</v>
      </c>
      <c r="F9" s="28">
        <f t="shared" ca="1" si="3"/>
        <v>0.83619373111539408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A1CF-07B9-474A-A238-9033F28A4C93}">
  <dimension ref="A1:E43"/>
  <sheetViews>
    <sheetView showGridLines="0" workbookViewId="0">
      <selection activeCell="H6" sqref="H6"/>
    </sheetView>
  </sheetViews>
  <sheetFormatPr defaultRowHeight="16.5" x14ac:dyDescent="0.3"/>
  <cols>
    <col min="1" max="1" width="9.5" bestFit="1" customWidth="1"/>
  </cols>
  <sheetData>
    <row r="1" spans="1:5" x14ac:dyDescent="0.3">
      <c r="A1" s="32" t="s">
        <v>134</v>
      </c>
      <c r="B1" s="32" t="s">
        <v>116</v>
      </c>
      <c r="C1" s="32" t="s">
        <v>117</v>
      </c>
      <c r="D1" s="32" t="s">
        <v>108</v>
      </c>
      <c r="E1" s="33" t="s">
        <v>138</v>
      </c>
    </row>
    <row r="2" spans="1:5" x14ac:dyDescent="0.3">
      <c r="A2">
        <v>202507</v>
      </c>
      <c r="B2" s="30" t="s">
        <v>118</v>
      </c>
      <c r="C2" s="28" t="s">
        <v>111</v>
      </c>
      <c r="D2">
        <v>150000</v>
      </c>
      <c r="E2" t="str">
        <f>A2&amp;B2</f>
        <v>202507001</v>
      </c>
    </row>
    <row r="3" spans="1:5" x14ac:dyDescent="0.3">
      <c r="A3">
        <v>202507</v>
      </c>
      <c r="B3" s="30" t="s">
        <v>119</v>
      </c>
      <c r="C3" s="28" t="s">
        <v>110</v>
      </c>
      <c r="D3">
        <v>10000</v>
      </c>
      <c r="E3" t="str">
        <f t="shared" ref="E3:E8" si="0">A3&amp;B3</f>
        <v>202507002</v>
      </c>
    </row>
    <row r="4" spans="1:5" x14ac:dyDescent="0.3">
      <c r="A4">
        <v>202507</v>
      </c>
      <c r="B4" s="30" t="s">
        <v>120</v>
      </c>
      <c r="C4" s="28" t="s">
        <v>112</v>
      </c>
      <c r="D4">
        <v>130000</v>
      </c>
      <c r="E4" t="str">
        <f t="shared" si="0"/>
        <v>202507003</v>
      </c>
    </row>
    <row r="5" spans="1:5" x14ac:dyDescent="0.3">
      <c r="A5">
        <v>202507</v>
      </c>
      <c r="B5" s="30" t="s">
        <v>121</v>
      </c>
      <c r="C5" s="28" t="s">
        <v>113</v>
      </c>
      <c r="D5">
        <v>50000</v>
      </c>
      <c r="E5" t="str">
        <f t="shared" si="0"/>
        <v>202507004</v>
      </c>
    </row>
    <row r="6" spans="1:5" x14ac:dyDescent="0.3">
      <c r="A6">
        <v>202507</v>
      </c>
      <c r="B6" s="30" t="s">
        <v>122</v>
      </c>
      <c r="C6" s="28" t="s">
        <v>123</v>
      </c>
      <c r="D6">
        <v>35239</v>
      </c>
      <c r="E6" t="str">
        <f t="shared" si="0"/>
        <v>202507005</v>
      </c>
    </row>
    <row r="7" spans="1:5" x14ac:dyDescent="0.3">
      <c r="A7">
        <v>202507</v>
      </c>
      <c r="B7" s="30" t="s">
        <v>125</v>
      </c>
      <c r="C7" s="28" t="s">
        <v>124</v>
      </c>
      <c r="D7">
        <v>23927</v>
      </c>
      <c r="E7" t="str">
        <f t="shared" si="0"/>
        <v>202507006</v>
      </c>
    </row>
    <row r="8" spans="1:5" x14ac:dyDescent="0.3">
      <c r="A8">
        <v>202507</v>
      </c>
      <c r="B8" s="30" t="s">
        <v>137</v>
      </c>
      <c r="C8" s="28" t="s">
        <v>109</v>
      </c>
      <c r="D8">
        <v>21736</v>
      </c>
      <c r="E8" t="str">
        <f t="shared" si="0"/>
        <v>202507007</v>
      </c>
    </row>
    <row r="9" spans="1:5" x14ac:dyDescent="0.3">
      <c r="B9" s="30"/>
      <c r="C9" s="28"/>
    </row>
    <row r="10" spans="1:5" x14ac:dyDescent="0.3">
      <c r="B10" s="30"/>
      <c r="C10" s="28"/>
    </row>
    <row r="11" spans="1:5" x14ac:dyDescent="0.3">
      <c r="B11" s="30"/>
      <c r="C11" s="28"/>
    </row>
    <row r="12" spans="1:5" x14ac:dyDescent="0.3">
      <c r="B12" s="30"/>
      <c r="C12" s="28"/>
    </row>
    <row r="13" spans="1:5" x14ac:dyDescent="0.3">
      <c r="B13" s="30"/>
      <c r="C13" s="28"/>
    </row>
    <row r="14" spans="1:5" x14ac:dyDescent="0.3">
      <c r="B14" s="30"/>
      <c r="C14" s="28"/>
    </row>
    <row r="15" spans="1:5" x14ac:dyDescent="0.3">
      <c r="B15" s="30"/>
      <c r="C15" s="28"/>
    </row>
    <row r="16" spans="1:5" x14ac:dyDescent="0.3">
      <c r="B16" s="30"/>
      <c r="C16" s="28"/>
    </row>
    <row r="17" spans="2:3" x14ac:dyDescent="0.3">
      <c r="B17" s="30"/>
      <c r="C17" s="28"/>
    </row>
    <row r="18" spans="2:3" x14ac:dyDescent="0.3">
      <c r="B18" s="30"/>
      <c r="C18" s="28"/>
    </row>
    <row r="19" spans="2:3" x14ac:dyDescent="0.3">
      <c r="B19" s="30"/>
      <c r="C19" s="28"/>
    </row>
    <row r="20" spans="2:3" x14ac:dyDescent="0.3">
      <c r="B20" s="30"/>
      <c r="C20" s="28"/>
    </row>
    <row r="21" spans="2:3" x14ac:dyDescent="0.3">
      <c r="B21" s="30"/>
      <c r="C21" s="28"/>
    </row>
    <row r="22" spans="2:3" x14ac:dyDescent="0.3">
      <c r="B22" s="30"/>
      <c r="C22" s="28"/>
    </row>
    <row r="23" spans="2:3" x14ac:dyDescent="0.3">
      <c r="B23" s="30"/>
      <c r="C23" s="28"/>
    </row>
    <row r="24" spans="2:3" x14ac:dyDescent="0.3">
      <c r="B24" s="30"/>
      <c r="C24" s="28"/>
    </row>
    <row r="25" spans="2:3" x14ac:dyDescent="0.3">
      <c r="B25" s="30"/>
      <c r="C25" s="28"/>
    </row>
    <row r="26" spans="2:3" x14ac:dyDescent="0.3">
      <c r="B26" s="30"/>
      <c r="C26" s="28"/>
    </row>
    <row r="27" spans="2:3" x14ac:dyDescent="0.3">
      <c r="B27" s="30"/>
      <c r="C27" s="28"/>
    </row>
    <row r="28" spans="2:3" x14ac:dyDescent="0.3">
      <c r="B28" s="30"/>
      <c r="C28" s="28"/>
    </row>
    <row r="29" spans="2:3" x14ac:dyDescent="0.3">
      <c r="B29" s="30"/>
      <c r="C29" s="28"/>
    </row>
    <row r="30" spans="2:3" x14ac:dyDescent="0.3">
      <c r="B30" s="30"/>
      <c r="C30" s="28"/>
    </row>
    <row r="31" spans="2:3" x14ac:dyDescent="0.3">
      <c r="B31" s="30"/>
      <c r="C31" s="28"/>
    </row>
    <row r="32" spans="2:3" x14ac:dyDescent="0.3">
      <c r="B32" s="30"/>
      <c r="C32" s="28"/>
    </row>
    <row r="33" spans="2:3" x14ac:dyDescent="0.3">
      <c r="B33" s="30"/>
      <c r="C33" s="28"/>
    </row>
    <row r="34" spans="2:3" x14ac:dyDescent="0.3">
      <c r="B34" s="30"/>
      <c r="C34" s="28"/>
    </row>
    <row r="35" spans="2:3" x14ac:dyDescent="0.3">
      <c r="B35" s="30"/>
      <c r="C35" s="28"/>
    </row>
    <row r="36" spans="2:3" x14ac:dyDescent="0.3">
      <c r="B36" s="30"/>
      <c r="C36" s="28"/>
    </row>
    <row r="37" spans="2:3" x14ac:dyDescent="0.3">
      <c r="B37" s="30"/>
      <c r="C37" s="28"/>
    </row>
    <row r="38" spans="2:3" x14ac:dyDescent="0.3">
      <c r="B38" s="30"/>
      <c r="C38" s="28"/>
    </row>
    <row r="39" spans="2:3" x14ac:dyDescent="0.3">
      <c r="B39" s="30"/>
      <c r="C39" s="28"/>
    </row>
    <row r="40" spans="2:3" x14ac:dyDescent="0.3">
      <c r="B40" s="30"/>
      <c r="C40" s="28"/>
    </row>
    <row r="41" spans="2:3" x14ac:dyDescent="0.3">
      <c r="B41" s="30"/>
      <c r="C41" s="28"/>
    </row>
    <row r="42" spans="2:3" x14ac:dyDescent="0.3">
      <c r="B42" s="30"/>
      <c r="C42" s="28"/>
    </row>
    <row r="43" spans="2:3" x14ac:dyDescent="0.3">
      <c r="B43" s="30"/>
      <c r="C43" s="2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960E-3446-4D1B-B9BB-471F6CDC5DFE}">
  <dimension ref="A1:F50"/>
  <sheetViews>
    <sheetView showGridLines="0" workbookViewId="0">
      <selection activeCell="E13" sqref="E13"/>
    </sheetView>
  </sheetViews>
  <sheetFormatPr defaultRowHeight="16.5" x14ac:dyDescent="0.3"/>
  <cols>
    <col min="1" max="1" width="9.375" bestFit="1" customWidth="1"/>
    <col min="6" max="6" width="9.5" bestFit="1" customWidth="1"/>
  </cols>
  <sheetData>
    <row r="1" spans="1:6" x14ac:dyDescent="0.3">
      <c r="A1" s="32" t="s">
        <v>134</v>
      </c>
      <c r="B1" s="32" t="s">
        <v>116</v>
      </c>
      <c r="C1" s="32" t="s">
        <v>117</v>
      </c>
      <c r="D1" s="32" t="s">
        <v>136</v>
      </c>
      <c r="E1" s="32" t="s">
        <v>140</v>
      </c>
      <c r="F1" s="33" t="s">
        <v>141</v>
      </c>
    </row>
    <row r="2" spans="1:6" x14ac:dyDescent="0.3">
      <c r="A2">
        <v>20250701</v>
      </c>
      <c r="B2" s="30" t="s">
        <v>118</v>
      </c>
      <c r="C2" s="28" t="s">
        <v>111</v>
      </c>
      <c r="D2">
        <f ca="1">RANDBETWEEN(10,50)</f>
        <v>38</v>
      </c>
      <c r="E2">
        <f ca="1">RANDBETWEEN(10,50)</f>
        <v>16</v>
      </c>
      <c r="F2" t="b">
        <f t="shared" ref="F2:F33" si="0">A2&lt;=VS_DAY</f>
        <v>1</v>
      </c>
    </row>
    <row r="3" spans="1:6" x14ac:dyDescent="0.3">
      <c r="A3">
        <v>20250701</v>
      </c>
      <c r="B3" s="30" t="s">
        <v>119</v>
      </c>
      <c r="C3" s="28" t="s">
        <v>110</v>
      </c>
      <c r="D3">
        <f t="shared" ref="D3:E50" ca="1" si="1">RANDBETWEEN(100,500)</f>
        <v>214</v>
      </c>
      <c r="E3">
        <f t="shared" ca="1" si="1"/>
        <v>409</v>
      </c>
      <c r="F3" t="b">
        <f t="shared" si="0"/>
        <v>1</v>
      </c>
    </row>
    <row r="4" spans="1:6" x14ac:dyDescent="0.3">
      <c r="A4">
        <v>20250701</v>
      </c>
      <c r="B4" s="30" t="s">
        <v>120</v>
      </c>
      <c r="C4" s="28" t="s">
        <v>112</v>
      </c>
      <c r="D4">
        <f ca="1">RANDBETWEEN(10,50)</f>
        <v>33</v>
      </c>
      <c r="E4">
        <f ca="1">RANDBETWEEN(10,50)</f>
        <v>14</v>
      </c>
      <c r="F4" t="b">
        <f t="shared" si="0"/>
        <v>1</v>
      </c>
    </row>
    <row r="5" spans="1:6" x14ac:dyDescent="0.3">
      <c r="A5">
        <v>20250701</v>
      </c>
      <c r="B5" s="30" t="s">
        <v>121</v>
      </c>
      <c r="C5" s="28" t="s">
        <v>113</v>
      </c>
      <c r="D5">
        <f t="shared" ca="1" si="1"/>
        <v>127</v>
      </c>
      <c r="E5">
        <f t="shared" ca="1" si="1"/>
        <v>429</v>
      </c>
      <c r="F5" t="b">
        <f t="shared" si="0"/>
        <v>1</v>
      </c>
    </row>
    <row r="6" spans="1:6" x14ac:dyDescent="0.3">
      <c r="A6">
        <v>20250701</v>
      </c>
      <c r="B6" s="30" t="s">
        <v>122</v>
      </c>
      <c r="C6" s="28" t="s">
        <v>123</v>
      </c>
      <c r="D6">
        <f t="shared" ca="1" si="1"/>
        <v>201</v>
      </c>
      <c r="E6">
        <f t="shared" ca="1" si="1"/>
        <v>130</v>
      </c>
      <c r="F6" t="b">
        <f t="shared" si="0"/>
        <v>1</v>
      </c>
    </row>
    <row r="7" spans="1:6" x14ac:dyDescent="0.3">
      <c r="A7">
        <v>20250701</v>
      </c>
      <c r="B7" s="30" t="s">
        <v>125</v>
      </c>
      <c r="C7" s="28" t="s">
        <v>124</v>
      </c>
      <c r="D7">
        <f t="shared" ca="1" si="1"/>
        <v>406</v>
      </c>
      <c r="E7">
        <f t="shared" ca="1" si="1"/>
        <v>267</v>
      </c>
      <c r="F7" t="b">
        <f t="shared" si="0"/>
        <v>1</v>
      </c>
    </row>
    <row r="8" spans="1:6" x14ac:dyDescent="0.3">
      <c r="A8">
        <v>20250701</v>
      </c>
      <c r="B8" s="30" t="s">
        <v>137</v>
      </c>
      <c r="C8" s="28" t="s">
        <v>109</v>
      </c>
      <c r="D8">
        <f t="shared" ca="1" si="1"/>
        <v>428</v>
      </c>
      <c r="E8">
        <f t="shared" ca="1" si="1"/>
        <v>291</v>
      </c>
      <c r="F8" t="b">
        <f t="shared" si="0"/>
        <v>1</v>
      </c>
    </row>
    <row r="9" spans="1:6" x14ac:dyDescent="0.3">
      <c r="A9">
        <v>20250702</v>
      </c>
      <c r="B9" s="30" t="s">
        <v>118</v>
      </c>
      <c r="C9" s="28" t="s">
        <v>111</v>
      </c>
      <c r="D9">
        <f ca="1">RANDBETWEEN(10,50)</f>
        <v>39</v>
      </c>
      <c r="E9">
        <f ca="1">RANDBETWEEN(10,50)</f>
        <v>19</v>
      </c>
      <c r="F9" t="b">
        <f t="shared" si="0"/>
        <v>1</v>
      </c>
    </row>
    <row r="10" spans="1:6" x14ac:dyDescent="0.3">
      <c r="A10">
        <v>20250702</v>
      </c>
      <c r="B10" s="30" t="s">
        <v>119</v>
      </c>
      <c r="C10" s="28" t="s">
        <v>110</v>
      </c>
      <c r="D10">
        <f t="shared" ca="1" si="1"/>
        <v>205</v>
      </c>
      <c r="E10">
        <f t="shared" ca="1" si="1"/>
        <v>255</v>
      </c>
      <c r="F10" t="b">
        <f t="shared" si="0"/>
        <v>1</v>
      </c>
    </row>
    <row r="11" spans="1:6" x14ac:dyDescent="0.3">
      <c r="A11">
        <v>20250702</v>
      </c>
      <c r="B11" s="30" t="s">
        <v>120</v>
      </c>
      <c r="C11" s="28" t="s">
        <v>112</v>
      </c>
      <c r="D11">
        <f ca="1">RANDBETWEEN(10,50)</f>
        <v>46</v>
      </c>
      <c r="E11">
        <f ca="1">RANDBETWEEN(10,50)</f>
        <v>17</v>
      </c>
      <c r="F11" t="b">
        <f t="shared" si="0"/>
        <v>1</v>
      </c>
    </row>
    <row r="12" spans="1:6" x14ac:dyDescent="0.3">
      <c r="A12">
        <v>20250702</v>
      </c>
      <c r="B12" s="30" t="s">
        <v>121</v>
      </c>
      <c r="C12" s="28" t="s">
        <v>113</v>
      </c>
      <c r="D12">
        <f t="shared" ca="1" si="1"/>
        <v>214</v>
      </c>
      <c r="E12">
        <f t="shared" ca="1" si="1"/>
        <v>166</v>
      </c>
      <c r="F12" t="b">
        <f t="shared" si="0"/>
        <v>1</v>
      </c>
    </row>
    <row r="13" spans="1:6" x14ac:dyDescent="0.3">
      <c r="A13">
        <v>20250702</v>
      </c>
      <c r="B13" s="30" t="s">
        <v>122</v>
      </c>
      <c r="C13" s="28" t="s">
        <v>123</v>
      </c>
      <c r="D13">
        <f t="shared" ca="1" si="1"/>
        <v>363</v>
      </c>
      <c r="E13">
        <f t="shared" ca="1" si="1"/>
        <v>379</v>
      </c>
      <c r="F13" t="b">
        <f t="shared" si="0"/>
        <v>1</v>
      </c>
    </row>
    <row r="14" spans="1:6" x14ac:dyDescent="0.3">
      <c r="A14">
        <v>20250702</v>
      </c>
      <c r="B14" s="30" t="s">
        <v>125</v>
      </c>
      <c r="C14" s="28" t="s">
        <v>124</v>
      </c>
      <c r="D14">
        <f t="shared" ca="1" si="1"/>
        <v>302</v>
      </c>
      <c r="E14">
        <f t="shared" ca="1" si="1"/>
        <v>398</v>
      </c>
      <c r="F14" t="b">
        <f t="shared" si="0"/>
        <v>1</v>
      </c>
    </row>
    <row r="15" spans="1:6" x14ac:dyDescent="0.3">
      <c r="A15">
        <v>20250702</v>
      </c>
      <c r="B15" s="30" t="s">
        <v>137</v>
      </c>
      <c r="C15" s="28" t="s">
        <v>109</v>
      </c>
      <c r="D15">
        <f t="shared" ca="1" si="1"/>
        <v>310</v>
      </c>
      <c r="E15">
        <f t="shared" ca="1" si="1"/>
        <v>123</v>
      </c>
      <c r="F15" t="b">
        <f t="shared" si="0"/>
        <v>1</v>
      </c>
    </row>
    <row r="16" spans="1:6" x14ac:dyDescent="0.3">
      <c r="A16">
        <v>20250703</v>
      </c>
      <c r="B16" s="30" t="s">
        <v>118</v>
      </c>
      <c r="C16" s="28" t="s">
        <v>111</v>
      </c>
      <c r="D16">
        <f ca="1">RANDBETWEEN(10,50)</f>
        <v>50</v>
      </c>
      <c r="E16">
        <f ca="1">RANDBETWEEN(10,50)</f>
        <v>23</v>
      </c>
      <c r="F16" t="b">
        <f t="shared" si="0"/>
        <v>1</v>
      </c>
    </row>
    <row r="17" spans="1:6" x14ac:dyDescent="0.3">
      <c r="A17">
        <v>20250703</v>
      </c>
      <c r="B17" s="30" t="s">
        <v>119</v>
      </c>
      <c r="C17" s="28" t="s">
        <v>110</v>
      </c>
      <c r="D17">
        <f t="shared" ca="1" si="1"/>
        <v>162</v>
      </c>
      <c r="E17">
        <f t="shared" ca="1" si="1"/>
        <v>253</v>
      </c>
      <c r="F17" t="b">
        <f t="shared" si="0"/>
        <v>1</v>
      </c>
    </row>
    <row r="18" spans="1:6" x14ac:dyDescent="0.3">
      <c r="A18">
        <v>20250703</v>
      </c>
      <c r="B18" s="30" t="s">
        <v>120</v>
      </c>
      <c r="C18" s="28" t="s">
        <v>112</v>
      </c>
      <c r="D18">
        <f ca="1">RANDBETWEEN(10,50)</f>
        <v>38</v>
      </c>
      <c r="E18">
        <f ca="1">RANDBETWEEN(10,50)</f>
        <v>41</v>
      </c>
      <c r="F18" t="b">
        <f t="shared" si="0"/>
        <v>1</v>
      </c>
    </row>
    <row r="19" spans="1:6" x14ac:dyDescent="0.3">
      <c r="A19">
        <v>20250703</v>
      </c>
      <c r="B19" s="30" t="s">
        <v>121</v>
      </c>
      <c r="C19" s="28" t="s">
        <v>113</v>
      </c>
      <c r="D19">
        <f t="shared" ca="1" si="1"/>
        <v>374</v>
      </c>
      <c r="E19">
        <f t="shared" ca="1" si="1"/>
        <v>138</v>
      </c>
      <c r="F19" t="b">
        <f t="shared" si="0"/>
        <v>1</v>
      </c>
    </row>
    <row r="20" spans="1:6" x14ac:dyDescent="0.3">
      <c r="A20">
        <v>20250703</v>
      </c>
      <c r="B20" s="30" t="s">
        <v>122</v>
      </c>
      <c r="C20" s="28" t="s">
        <v>123</v>
      </c>
      <c r="D20">
        <f t="shared" ca="1" si="1"/>
        <v>149</v>
      </c>
      <c r="E20">
        <f t="shared" ca="1" si="1"/>
        <v>117</v>
      </c>
      <c r="F20" t="b">
        <f t="shared" si="0"/>
        <v>1</v>
      </c>
    </row>
    <row r="21" spans="1:6" x14ac:dyDescent="0.3">
      <c r="A21">
        <v>20250703</v>
      </c>
      <c r="B21" s="30" t="s">
        <v>125</v>
      </c>
      <c r="C21" s="28" t="s">
        <v>124</v>
      </c>
      <c r="D21">
        <f t="shared" ca="1" si="1"/>
        <v>405</v>
      </c>
      <c r="E21">
        <f t="shared" ca="1" si="1"/>
        <v>367</v>
      </c>
      <c r="F21" t="b">
        <f t="shared" si="0"/>
        <v>1</v>
      </c>
    </row>
    <row r="22" spans="1:6" x14ac:dyDescent="0.3">
      <c r="A22">
        <v>20250703</v>
      </c>
      <c r="B22" s="30" t="s">
        <v>137</v>
      </c>
      <c r="C22" s="28" t="s">
        <v>109</v>
      </c>
      <c r="D22">
        <f t="shared" ca="1" si="1"/>
        <v>452</v>
      </c>
      <c r="E22">
        <f t="shared" ca="1" si="1"/>
        <v>246</v>
      </c>
      <c r="F22" t="b">
        <f t="shared" si="0"/>
        <v>1</v>
      </c>
    </row>
    <row r="23" spans="1:6" x14ac:dyDescent="0.3">
      <c r="A23">
        <v>20250704</v>
      </c>
      <c r="B23" s="30" t="s">
        <v>118</v>
      </c>
      <c r="C23" s="28" t="s">
        <v>111</v>
      </c>
      <c r="D23">
        <f ca="1">RANDBETWEEN(10,50)</f>
        <v>11</v>
      </c>
      <c r="E23">
        <f ca="1">RANDBETWEEN(10,50)</f>
        <v>21</v>
      </c>
      <c r="F23" t="b">
        <f t="shared" si="0"/>
        <v>0</v>
      </c>
    </row>
    <row r="24" spans="1:6" x14ac:dyDescent="0.3">
      <c r="A24">
        <v>20250704</v>
      </c>
      <c r="B24" s="30" t="s">
        <v>119</v>
      </c>
      <c r="C24" s="28" t="s">
        <v>110</v>
      </c>
      <c r="D24">
        <f t="shared" ca="1" si="1"/>
        <v>104</v>
      </c>
      <c r="E24">
        <f t="shared" ca="1" si="1"/>
        <v>483</v>
      </c>
      <c r="F24" t="b">
        <f t="shared" si="0"/>
        <v>0</v>
      </c>
    </row>
    <row r="25" spans="1:6" x14ac:dyDescent="0.3">
      <c r="A25">
        <v>20250704</v>
      </c>
      <c r="B25" s="30" t="s">
        <v>120</v>
      </c>
      <c r="C25" s="28" t="s">
        <v>112</v>
      </c>
      <c r="D25">
        <f ca="1">RANDBETWEEN(10,50)</f>
        <v>47</v>
      </c>
      <c r="E25">
        <f ca="1">RANDBETWEEN(10,50)</f>
        <v>10</v>
      </c>
      <c r="F25" t="b">
        <f t="shared" si="0"/>
        <v>0</v>
      </c>
    </row>
    <row r="26" spans="1:6" x14ac:dyDescent="0.3">
      <c r="A26">
        <v>20250704</v>
      </c>
      <c r="B26" s="30" t="s">
        <v>121</v>
      </c>
      <c r="C26" s="28" t="s">
        <v>113</v>
      </c>
      <c r="D26">
        <f t="shared" ca="1" si="1"/>
        <v>235</v>
      </c>
      <c r="E26">
        <f t="shared" ca="1" si="1"/>
        <v>126</v>
      </c>
      <c r="F26" t="b">
        <f t="shared" si="0"/>
        <v>0</v>
      </c>
    </row>
    <row r="27" spans="1:6" x14ac:dyDescent="0.3">
      <c r="A27">
        <v>20250704</v>
      </c>
      <c r="B27" s="30" t="s">
        <v>122</v>
      </c>
      <c r="C27" s="28" t="s">
        <v>123</v>
      </c>
      <c r="D27">
        <f t="shared" ca="1" si="1"/>
        <v>293</v>
      </c>
      <c r="E27">
        <f t="shared" ca="1" si="1"/>
        <v>318</v>
      </c>
      <c r="F27" t="b">
        <f t="shared" si="0"/>
        <v>0</v>
      </c>
    </row>
    <row r="28" spans="1:6" x14ac:dyDescent="0.3">
      <c r="A28">
        <v>20250704</v>
      </c>
      <c r="B28" s="30" t="s">
        <v>125</v>
      </c>
      <c r="C28" s="28" t="s">
        <v>124</v>
      </c>
      <c r="D28">
        <f t="shared" ca="1" si="1"/>
        <v>229</v>
      </c>
      <c r="E28">
        <f t="shared" ca="1" si="1"/>
        <v>118</v>
      </c>
      <c r="F28" t="b">
        <f t="shared" si="0"/>
        <v>0</v>
      </c>
    </row>
    <row r="29" spans="1:6" x14ac:dyDescent="0.3">
      <c r="A29">
        <v>20250704</v>
      </c>
      <c r="B29" s="30" t="s">
        <v>137</v>
      </c>
      <c r="C29" s="28" t="s">
        <v>109</v>
      </c>
      <c r="D29">
        <f t="shared" ca="1" si="1"/>
        <v>416</v>
      </c>
      <c r="E29">
        <f t="shared" ca="1" si="1"/>
        <v>324</v>
      </c>
      <c r="F29" t="b">
        <f t="shared" si="0"/>
        <v>0</v>
      </c>
    </row>
    <row r="30" spans="1:6" x14ac:dyDescent="0.3">
      <c r="A30">
        <v>20250705</v>
      </c>
      <c r="B30" s="30" t="s">
        <v>118</v>
      </c>
      <c r="C30" s="28" t="s">
        <v>111</v>
      </c>
      <c r="D30">
        <f ca="1">RANDBETWEEN(10,50)</f>
        <v>28</v>
      </c>
      <c r="E30">
        <f ca="1">RANDBETWEEN(10,50)</f>
        <v>20</v>
      </c>
      <c r="F30" t="b">
        <f t="shared" si="0"/>
        <v>0</v>
      </c>
    </row>
    <row r="31" spans="1:6" x14ac:dyDescent="0.3">
      <c r="A31">
        <v>20250705</v>
      </c>
      <c r="B31" s="30" t="s">
        <v>119</v>
      </c>
      <c r="C31" s="28" t="s">
        <v>110</v>
      </c>
      <c r="D31">
        <f t="shared" ca="1" si="1"/>
        <v>277</v>
      </c>
      <c r="E31">
        <f t="shared" ca="1" si="1"/>
        <v>151</v>
      </c>
      <c r="F31" t="b">
        <f t="shared" si="0"/>
        <v>0</v>
      </c>
    </row>
    <row r="32" spans="1:6" x14ac:dyDescent="0.3">
      <c r="A32">
        <v>20250705</v>
      </c>
      <c r="B32" s="30" t="s">
        <v>120</v>
      </c>
      <c r="C32" s="28" t="s">
        <v>112</v>
      </c>
      <c r="D32">
        <f ca="1">RANDBETWEEN(10,50)</f>
        <v>24</v>
      </c>
      <c r="E32">
        <f ca="1">RANDBETWEEN(10,50)</f>
        <v>12</v>
      </c>
      <c r="F32" t="b">
        <f t="shared" si="0"/>
        <v>0</v>
      </c>
    </row>
    <row r="33" spans="1:6" x14ac:dyDescent="0.3">
      <c r="A33">
        <v>20250705</v>
      </c>
      <c r="B33" s="30" t="s">
        <v>121</v>
      </c>
      <c r="C33" s="28" t="s">
        <v>113</v>
      </c>
      <c r="D33">
        <f t="shared" ca="1" si="1"/>
        <v>191</v>
      </c>
      <c r="E33">
        <f t="shared" ca="1" si="1"/>
        <v>356</v>
      </c>
      <c r="F33" t="b">
        <f t="shared" si="0"/>
        <v>0</v>
      </c>
    </row>
    <row r="34" spans="1:6" x14ac:dyDescent="0.3">
      <c r="A34">
        <v>20250705</v>
      </c>
      <c r="B34" s="30" t="s">
        <v>122</v>
      </c>
      <c r="C34" s="28" t="s">
        <v>123</v>
      </c>
      <c r="D34">
        <f t="shared" ca="1" si="1"/>
        <v>100</v>
      </c>
      <c r="E34">
        <f t="shared" ca="1" si="1"/>
        <v>446</v>
      </c>
      <c r="F34" t="b">
        <f t="shared" ref="F34:F50" si="2">A34&lt;=VS_DAY</f>
        <v>0</v>
      </c>
    </row>
    <row r="35" spans="1:6" x14ac:dyDescent="0.3">
      <c r="A35">
        <v>20250705</v>
      </c>
      <c r="B35" s="30" t="s">
        <v>125</v>
      </c>
      <c r="C35" s="28" t="s">
        <v>124</v>
      </c>
      <c r="D35">
        <f t="shared" ca="1" si="1"/>
        <v>165</v>
      </c>
      <c r="E35">
        <f t="shared" ca="1" si="1"/>
        <v>224</v>
      </c>
      <c r="F35" t="b">
        <f t="shared" si="2"/>
        <v>0</v>
      </c>
    </row>
    <row r="36" spans="1:6" x14ac:dyDescent="0.3">
      <c r="A36">
        <v>20250705</v>
      </c>
      <c r="B36" s="30" t="s">
        <v>137</v>
      </c>
      <c r="C36" s="28" t="s">
        <v>109</v>
      </c>
      <c r="D36">
        <f t="shared" ca="1" si="1"/>
        <v>143</v>
      </c>
      <c r="E36">
        <f t="shared" ca="1" si="1"/>
        <v>469</v>
      </c>
      <c r="F36" t="b">
        <f t="shared" si="2"/>
        <v>0</v>
      </c>
    </row>
    <row r="37" spans="1:6" x14ac:dyDescent="0.3">
      <c r="A37">
        <v>20250706</v>
      </c>
      <c r="B37" s="30" t="s">
        <v>118</v>
      </c>
      <c r="C37" s="28" t="s">
        <v>111</v>
      </c>
      <c r="D37">
        <f ca="1">RANDBETWEEN(10,50)</f>
        <v>11</v>
      </c>
      <c r="E37">
        <f ca="1">RANDBETWEEN(10,50)</f>
        <v>43</v>
      </c>
      <c r="F37" t="b">
        <f t="shared" si="2"/>
        <v>0</v>
      </c>
    </row>
    <row r="38" spans="1:6" x14ac:dyDescent="0.3">
      <c r="A38">
        <v>20250706</v>
      </c>
      <c r="B38" s="30" t="s">
        <v>119</v>
      </c>
      <c r="C38" s="28" t="s">
        <v>110</v>
      </c>
      <c r="D38">
        <f t="shared" ca="1" si="1"/>
        <v>483</v>
      </c>
      <c r="E38">
        <f t="shared" ca="1" si="1"/>
        <v>311</v>
      </c>
      <c r="F38" t="b">
        <f t="shared" si="2"/>
        <v>0</v>
      </c>
    </row>
    <row r="39" spans="1:6" x14ac:dyDescent="0.3">
      <c r="A39">
        <v>20250706</v>
      </c>
      <c r="B39" s="30" t="s">
        <v>120</v>
      </c>
      <c r="C39" s="28" t="s">
        <v>112</v>
      </c>
      <c r="D39">
        <f ca="1">RANDBETWEEN(10,50)</f>
        <v>12</v>
      </c>
      <c r="E39">
        <f ca="1">RANDBETWEEN(10,50)</f>
        <v>31</v>
      </c>
      <c r="F39" t="b">
        <f t="shared" si="2"/>
        <v>0</v>
      </c>
    </row>
    <row r="40" spans="1:6" x14ac:dyDescent="0.3">
      <c r="A40">
        <v>20250706</v>
      </c>
      <c r="B40" s="30" t="s">
        <v>121</v>
      </c>
      <c r="C40" s="28" t="s">
        <v>113</v>
      </c>
      <c r="D40">
        <f t="shared" ca="1" si="1"/>
        <v>108</v>
      </c>
      <c r="E40">
        <f t="shared" ca="1" si="1"/>
        <v>286</v>
      </c>
      <c r="F40" t="b">
        <f t="shared" si="2"/>
        <v>0</v>
      </c>
    </row>
    <row r="41" spans="1:6" x14ac:dyDescent="0.3">
      <c r="A41">
        <v>20250706</v>
      </c>
      <c r="B41" s="30" t="s">
        <v>122</v>
      </c>
      <c r="C41" s="28" t="s">
        <v>123</v>
      </c>
      <c r="D41">
        <f t="shared" ca="1" si="1"/>
        <v>365</v>
      </c>
      <c r="E41">
        <f t="shared" ca="1" si="1"/>
        <v>383</v>
      </c>
      <c r="F41" t="b">
        <f t="shared" si="2"/>
        <v>0</v>
      </c>
    </row>
    <row r="42" spans="1:6" x14ac:dyDescent="0.3">
      <c r="A42">
        <v>20250706</v>
      </c>
      <c r="B42" s="30" t="s">
        <v>125</v>
      </c>
      <c r="C42" s="28" t="s">
        <v>124</v>
      </c>
      <c r="D42">
        <f t="shared" ca="1" si="1"/>
        <v>397</v>
      </c>
      <c r="E42">
        <f t="shared" ca="1" si="1"/>
        <v>394</v>
      </c>
      <c r="F42" t="b">
        <f t="shared" si="2"/>
        <v>0</v>
      </c>
    </row>
    <row r="43" spans="1:6" x14ac:dyDescent="0.3">
      <c r="A43">
        <v>20250706</v>
      </c>
      <c r="B43" s="30" t="s">
        <v>137</v>
      </c>
      <c r="C43" s="28" t="s">
        <v>109</v>
      </c>
      <c r="D43">
        <f t="shared" ca="1" si="1"/>
        <v>459</v>
      </c>
      <c r="E43">
        <f t="shared" ca="1" si="1"/>
        <v>487</v>
      </c>
      <c r="F43" t="b">
        <f t="shared" si="2"/>
        <v>0</v>
      </c>
    </row>
    <row r="44" spans="1:6" x14ac:dyDescent="0.3">
      <c r="A44">
        <v>20250707</v>
      </c>
      <c r="B44" s="30" t="s">
        <v>118</v>
      </c>
      <c r="C44" s="28" t="s">
        <v>111</v>
      </c>
      <c r="D44">
        <f ca="1">RANDBETWEEN(10,50)</f>
        <v>28</v>
      </c>
      <c r="E44">
        <f ca="1">RANDBETWEEN(10,50)</f>
        <v>25</v>
      </c>
      <c r="F44" t="b">
        <f t="shared" si="2"/>
        <v>0</v>
      </c>
    </row>
    <row r="45" spans="1:6" x14ac:dyDescent="0.3">
      <c r="A45">
        <v>20250707</v>
      </c>
      <c r="B45" s="30" t="s">
        <v>119</v>
      </c>
      <c r="C45" s="28" t="s">
        <v>110</v>
      </c>
      <c r="D45">
        <f t="shared" ca="1" si="1"/>
        <v>168</v>
      </c>
      <c r="E45">
        <f t="shared" ca="1" si="1"/>
        <v>463</v>
      </c>
      <c r="F45" t="b">
        <f t="shared" si="2"/>
        <v>0</v>
      </c>
    </row>
    <row r="46" spans="1:6" x14ac:dyDescent="0.3">
      <c r="A46">
        <v>20250707</v>
      </c>
      <c r="B46" s="30" t="s">
        <v>120</v>
      </c>
      <c r="C46" s="28" t="s">
        <v>112</v>
      </c>
      <c r="D46">
        <f ca="1">RANDBETWEEN(10,50)</f>
        <v>43</v>
      </c>
      <c r="E46">
        <f ca="1">RANDBETWEEN(10,50)</f>
        <v>23</v>
      </c>
      <c r="F46" t="b">
        <f t="shared" si="2"/>
        <v>0</v>
      </c>
    </row>
    <row r="47" spans="1:6" x14ac:dyDescent="0.3">
      <c r="A47">
        <v>20250707</v>
      </c>
      <c r="B47" s="30" t="s">
        <v>121</v>
      </c>
      <c r="C47" s="28" t="s">
        <v>113</v>
      </c>
      <c r="D47">
        <f t="shared" ca="1" si="1"/>
        <v>367</v>
      </c>
      <c r="E47">
        <f t="shared" ca="1" si="1"/>
        <v>259</v>
      </c>
      <c r="F47" t="b">
        <f t="shared" si="2"/>
        <v>0</v>
      </c>
    </row>
    <row r="48" spans="1:6" x14ac:dyDescent="0.3">
      <c r="A48">
        <v>20250707</v>
      </c>
      <c r="B48" s="30" t="s">
        <v>122</v>
      </c>
      <c r="C48" s="28" t="s">
        <v>123</v>
      </c>
      <c r="D48">
        <f t="shared" ca="1" si="1"/>
        <v>181</v>
      </c>
      <c r="E48">
        <f t="shared" ca="1" si="1"/>
        <v>263</v>
      </c>
      <c r="F48" t="b">
        <f t="shared" si="2"/>
        <v>0</v>
      </c>
    </row>
    <row r="49" spans="1:6" x14ac:dyDescent="0.3">
      <c r="A49">
        <v>20250707</v>
      </c>
      <c r="B49" s="30" t="s">
        <v>125</v>
      </c>
      <c r="C49" s="28" t="s">
        <v>124</v>
      </c>
      <c r="D49">
        <f t="shared" ca="1" si="1"/>
        <v>236</v>
      </c>
      <c r="E49">
        <f t="shared" ca="1" si="1"/>
        <v>453</v>
      </c>
      <c r="F49" t="b">
        <f t="shared" si="2"/>
        <v>0</v>
      </c>
    </row>
    <row r="50" spans="1:6" x14ac:dyDescent="0.3">
      <c r="A50">
        <v>20250707</v>
      </c>
      <c r="B50" s="30" t="s">
        <v>137</v>
      </c>
      <c r="C50" s="28" t="s">
        <v>109</v>
      </c>
      <c r="D50">
        <f t="shared" ca="1" si="1"/>
        <v>196</v>
      </c>
      <c r="E50">
        <f t="shared" ca="1" si="1"/>
        <v>406</v>
      </c>
      <c r="F50" t="b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AE9C-E160-497E-BF4A-F8782E96A333}">
  <dimension ref="A1:E73"/>
  <sheetViews>
    <sheetView showGridLines="0" workbookViewId="0">
      <selection activeCell="B2" sqref="B2:C7"/>
    </sheetView>
  </sheetViews>
  <sheetFormatPr defaultRowHeight="16.5" x14ac:dyDescent="0.3"/>
  <cols>
    <col min="1" max="1" width="10.375" style="28" bestFit="1" customWidth="1"/>
    <col min="2" max="4" width="8.75" style="28"/>
  </cols>
  <sheetData>
    <row r="1" spans="1:5" x14ac:dyDescent="0.3">
      <c r="A1" s="32" t="s">
        <v>133</v>
      </c>
      <c r="B1" s="32" t="s">
        <v>116</v>
      </c>
      <c r="C1" s="32" t="s">
        <v>117</v>
      </c>
      <c r="D1" s="32" t="s">
        <v>135</v>
      </c>
      <c r="E1" s="31" t="s">
        <v>127</v>
      </c>
    </row>
    <row r="2" spans="1:5" x14ac:dyDescent="0.3">
      <c r="A2" s="28">
        <v>20250701</v>
      </c>
      <c r="B2" s="30" t="s">
        <v>118</v>
      </c>
      <c r="C2" s="28" t="s">
        <v>111</v>
      </c>
      <c r="D2" s="28">
        <f ca="1">RANDBETWEEN(1300, 1450)</f>
        <v>1345</v>
      </c>
      <c r="E2" t="str">
        <f>A2&amp;B2</f>
        <v>20250701001</v>
      </c>
    </row>
    <row r="3" spans="1:5" x14ac:dyDescent="0.3">
      <c r="A3" s="28">
        <v>20250701</v>
      </c>
      <c r="B3" s="30" t="s">
        <v>119</v>
      </c>
      <c r="C3" s="28" t="s">
        <v>110</v>
      </c>
      <c r="D3" s="28">
        <f ca="1">RANDBETWEEN(8,11)</f>
        <v>9</v>
      </c>
      <c r="E3" t="str">
        <f t="shared" ref="E3:E43" si="0">A3&amp;B3</f>
        <v>20250701002</v>
      </c>
    </row>
    <row r="4" spans="1:5" x14ac:dyDescent="0.3">
      <c r="A4" s="28">
        <v>20250701</v>
      </c>
      <c r="B4" s="30" t="s">
        <v>120</v>
      </c>
      <c r="C4" s="28" t="s">
        <v>112</v>
      </c>
      <c r="D4" s="28">
        <f ca="1">RANDBETWEEN(1400, 1600)</f>
        <v>1471</v>
      </c>
      <c r="E4" t="str">
        <f t="shared" si="0"/>
        <v>20250701003</v>
      </c>
    </row>
    <row r="5" spans="1:5" x14ac:dyDescent="0.3">
      <c r="A5" s="28">
        <v>20250701</v>
      </c>
      <c r="B5" s="30" t="s">
        <v>121</v>
      </c>
      <c r="C5" s="28" t="s">
        <v>113</v>
      </c>
      <c r="D5" s="28">
        <f ca="1">RANDBETWEEN(75,85)</f>
        <v>84</v>
      </c>
      <c r="E5" t="str">
        <f t="shared" si="0"/>
        <v>20250701004</v>
      </c>
    </row>
    <row r="6" spans="1:5" x14ac:dyDescent="0.3">
      <c r="A6" s="28">
        <v>20250701</v>
      </c>
      <c r="B6" s="30" t="s">
        <v>122</v>
      </c>
      <c r="C6" s="28" t="s">
        <v>123</v>
      </c>
      <c r="D6" s="28">
        <f ca="1">RANDBETWEEN(14,17)</f>
        <v>14</v>
      </c>
      <c r="E6" t="str">
        <f t="shared" si="0"/>
        <v>20250701005</v>
      </c>
    </row>
    <row r="7" spans="1:5" x14ac:dyDescent="0.3">
      <c r="A7" s="28">
        <v>20250701</v>
      </c>
      <c r="B7" s="30" t="s">
        <v>125</v>
      </c>
      <c r="C7" s="28" t="s">
        <v>124</v>
      </c>
      <c r="D7" s="28">
        <f ca="1">RANDBETWEEN(65,75)</f>
        <v>68</v>
      </c>
      <c r="E7" t="str">
        <f t="shared" si="0"/>
        <v>20250701006</v>
      </c>
    </row>
    <row r="8" spans="1:5" x14ac:dyDescent="0.3">
      <c r="A8" s="28">
        <v>20250702</v>
      </c>
      <c r="B8" s="30" t="s">
        <v>118</v>
      </c>
      <c r="C8" s="28" t="s">
        <v>111</v>
      </c>
      <c r="D8" s="28">
        <f ca="1">RANDBETWEEN(1300, 1450)</f>
        <v>1345</v>
      </c>
      <c r="E8" t="str">
        <f t="shared" si="0"/>
        <v>20250702001</v>
      </c>
    </row>
    <row r="9" spans="1:5" x14ac:dyDescent="0.3">
      <c r="A9" s="28">
        <v>20250702</v>
      </c>
      <c r="B9" s="30" t="s">
        <v>119</v>
      </c>
      <c r="C9" s="28" t="s">
        <v>110</v>
      </c>
      <c r="D9" s="28">
        <f ca="1">RANDBETWEEN(8,11)</f>
        <v>9</v>
      </c>
      <c r="E9" t="str">
        <f t="shared" si="0"/>
        <v>20250702002</v>
      </c>
    </row>
    <row r="10" spans="1:5" x14ac:dyDescent="0.3">
      <c r="A10" s="28">
        <v>20250702</v>
      </c>
      <c r="B10" s="30" t="s">
        <v>120</v>
      </c>
      <c r="C10" s="28" t="s">
        <v>112</v>
      </c>
      <c r="D10" s="28">
        <f ca="1">RANDBETWEEN(1400, 1600)</f>
        <v>1423</v>
      </c>
      <c r="E10" t="str">
        <f t="shared" si="0"/>
        <v>20250702003</v>
      </c>
    </row>
    <row r="11" spans="1:5" x14ac:dyDescent="0.3">
      <c r="A11" s="28">
        <v>20250702</v>
      </c>
      <c r="B11" s="30" t="s">
        <v>121</v>
      </c>
      <c r="C11" s="28" t="s">
        <v>113</v>
      </c>
      <c r="D11" s="28">
        <f ca="1">RANDBETWEEN(75,85)</f>
        <v>76</v>
      </c>
      <c r="E11" t="str">
        <f t="shared" si="0"/>
        <v>20250702004</v>
      </c>
    </row>
    <row r="12" spans="1:5" x14ac:dyDescent="0.3">
      <c r="A12" s="28">
        <v>20250702</v>
      </c>
      <c r="B12" s="30" t="s">
        <v>122</v>
      </c>
      <c r="C12" s="28" t="s">
        <v>123</v>
      </c>
      <c r="D12" s="28">
        <f ca="1">RANDBETWEEN(14,17)</f>
        <v>17</v>
      </c>
      <c r="E12" t="str">
        <f t="shared" si="0"/>
        <v>20250702005</v>
      </c>
    </row>
    <row r="13" spans="1:5" x14ac:dyDescent="0.3">
      <c r="A13" s="28">
        <v>20250702</v>
      </c>
      <c r="B13" s="30" t="s">
        <v>125</v>
      </c>
      <c r="C13" s="28" t="s">
        <v>124</v>
      </c>
      <c r="D13" s="28">
        <f ca="1">RANDBETWEEN(65,75)</f>
        <v>66</v>
      </c>
      <c r="E13" t="str">
        <f t="shared" si="0"/>
        <v>20250702006</v>
      </c>
    </row>
    <row r="14" spans="1:5" x14ac:dyDescent="0.3">
      <c r="A14" s="28">
        <v>20250703</v>
      </c>
      <c r="B14" s="30" t="s">
        <v>118</v>
      </c>
      <c r="C14" s="28" t="s">
        <v>111</v>
      </c>
      <c r="D14" s="28">
        <f ca="1">RANDBETWEEN(1300, 1450)</f>
        <v>1400</v>
      </c>
      <c r="E14" t="str">
        <f t="shared" si="0"/>
        <v>20250703001</v>
      </c>
    </row>
    <row r="15" spans="1:5" x14ac:dyDescent="0.3">
      <c r="A15" s="28">
        <v>20250703</v>
      </c>
      <c r="B15" s="30" t="s">
        <v>119</v>
      </c>
      <c r="C15" s="28" t="s">
        <v>110</v>
      </c>
      <c r="D15" s="28">
        <f ca="1">RANDBETWEEN(8,11)</f>
        <v>8</v>
      </c>
      <c r="E15" t="str">
        <f t="shared" si="0"/>
        <v>20250703002</v>
      </c>
    </row>
    <row r="16" spans="1:5" x14ac:dyDescent="0.3">
      <c r="A16" s="28">
        <v>20250703</v>
      </c>
      <c r="B16" s="30" t="s">
        <v>120</v>
      </c>
      <c r="C16" s="28" t="s">
        <v>112</v>
      </c>
      <c r="D16" s="28">
        <f ca="1">RANDBETWEEN(1400, 1600)</f>
        <v>1588</v>
      </c>
      <c r="E16" t="str">
        <f t="shared" si="0"/>
        <v>20250703003</v>
      </c>
    </row>
    <row r="17" spans="1:5" x14ac:dyDescent="0.3">
      <c r="A17" s="28">
        <v>20250703</v>
      </c>
      <c r="B17" s="30" t="s">
        <v>121</v>
      </c>
      <c r="C17" s="28" t="s">
        <v>113</v>
      </c>
      <c r="D17" s="28">
        <f ca="1">RANDBETWEEN(75,85)</f>
        <v>80</v>
      </c>
      <c r="E17" t="str">
        <f t="shared" si="0"/>
        <v>20250703004</v>
      </c>
    </row>
    <row r="18" spans="1:5" x14ac:dyDescent="0.3">
      <c r="A18" s="28">
        <v>20250703</v>
      </c>
      <c r="B18" s="30" t="s">
        <v>122</v>
      </c>
      <c r="C18" s="28" t="s">
        <v>123</v>
      </c>
      <c r="D18" s="28">
        <f ca="1">RANDBETWEEN(14,17)</f>
        <v>17</v>
      </c>
      <c r="E18" t="str">
        <f t="shared" si="0"/>
        <v>20250703005</v>
      </c>
    </row>
    <row r="19" spans="1:5" x14ac:dyDescent="0.3">
      <c r="A19" s="28">
        <v>20250703</v>
      </c>
      <c r="B19" s="30" t="s">
        <v>125</v>
      </c>
      <c r="C19" s="28" t="s">
        <v>124</v>
      </c>
      <c r="D19" s="28">
        <f ca="1">RANDBETWEEN(65,75)</f>
        <v>67</v>
      </c>
      <c r="E19" t="str">
        <f t="shared" si="0"/>
        <v>20250703006</v>
      </c>
    </row>
    <row r="20" spans="1:5" x14ac:dyDescent="0.3">
      <c r="A20" s="28">
        <v>20250704</v>
      </c>
      <c r="B20" s="30" t="s">
        <v>118</v>
      </c>
      <c r="C20" s="28" t="s">
        <v>111</v>
      </c>
      <c r="D20" s="28">
        <f ca="1">RANDBETWEEN(1300, 1450)</f>
        <v>1406</v>
      </c>
      <c r="E20" t="str">
        <f t="shared" si="0"/>
        <v>20250704001</v>
      </c>
    </row>
    <row r="21" spans="1:5" x14ac:dyDescent="0.3">
      <c r="A21" s="28">
        <v>20250704</v>
      </c>
      <c r="B21" s="30" t="s">
        <v>119</v>
      </c>
      <c r="C21" s="28" t="s">
        <v>110</v>
      </c>
      <c r="D21" s="28">
        <f ca="1">RANDBETWEEN(8,11)</f>
        <v>10</v>
      </c>
      <c r="E21" t="str">
        <f t="shared" si="0"/>
        <v>20250704002</v>
      </c>
    </row>
    <row r="22" spans="1:5" x14ac:dyDescent="0.3">
      <c r="A22" s="28">
        <v>20250704</v>
      </c>
      <c r="B22" s="30" t="s">
        <v>120</v>
      </c>
      <c r="C22" s="28" t="s">
        <v>112</v>
      </c>
      <c r="D22" s="28">
        <f ca="1">RANDBETWEEN(1400, 1600)</f>
        <v>1422</v>
      </c>
      <c r="E22" t="str">
        <f t="shared" si="0"/>
        <v>20250704003</v>
      </c>
    </row>
    <row r="23" spans="1:5" x14ac:dyDescent="0.3">
      <c r="A23" s="28">
        <v>20250704</v>
      </c>
      <c r="B23" s="30" t="s">
        <v>121</v>
      </c>
      <c r="C23" s="28" t="s">
        <v>113</v>
      </c>
      <c r="D23" s="28">
        <f ca="1">RANDBETWEEN(75,85)</f>
        <v>79</v>
      </c>
      <c r="E23" t="str">
        <f t="shared" si="0"/>
        <v>20250704004</v>
      </c>
    </row>
    <row r="24" spans="1:5" x14ac:dyDescent="0.3">
      <c r="A24" s="28">
        <v>20250704</v>
      </c>
      <c r="B24" s="30" t="s">
        <v>122</v>
      </c>
      <c r="C24" s="28" t="s">
        <v>123</v>
      </c>
      <c r="D24" s="28">
        <f ca="1">RANDBETWEEN(14,17)</f>
        <v>16</v>
      </c>
      <c r="E24" t="str">
        <f t="shared" si="0"/>
        <v>20250704005</v>
      </c>
    </row>
    <row r="25" spans="1:5" x14ac:dyDescent="0.3">
      <c r="A25" s="28">
        <v>20250704</v>
      </c>
      <c r="B25" s="30" t="s">
        <v>125</v>
      </c>
      <c r="C25" s="28" t="s">
        <v>124</v>
      </c>
      <c r="D25" s="28">
        <f ca="1">RANDBETWEEN(65,75)</f>
        <v>73</v>
      </c>
      <c r="E25" t="str">
        <f t="shared" si="0"/>
        <v>20250704006</v>
      </c>
    </row>
    <row r="26" spans="1:5" x14ac:dyDescent="0.3">
      <c r="A26" s="28">
        <v>20250705</v>
      </c>
      <c r="B26" s="30" t="s">
        <v>118</v>
      </c>
      <c r="C26" s="28" t="s">
        <v>111</v>
      </c>
      <c r="D26" s="28">
        <f ca="1">RANDBETWEEN(1300, 1450)</f>
        <v>1302</v>
      </c>
      <c r="E26" t="str">
        <f t="shared" si="0"/>
        <v>20250705001</v>
      </c>
    </row>
    <row r="27" spans="1:5" x14ac:dyDescent="0.3">
      <c r="A27" s="28">
        <v>20250705</v>
      </c>
      <c r="B27" s="30" t="s">
        <v>119</v>
      </c>
      <c r="C27" s="28" t="s">
        <v>110</v>
      </c>
      <c r="D27" s="28">
        <f ca="1">RANDBETWEEN(8,11)</f>
        <v>8</v>
      </c>
      <c r="E27" t="str">
        <f t="shared" si="0"/>
        <v>20250705002</v>
      </c>
    </row>
    <row r="28" spans="1:5" x14ac:dyDescent="0.3">
      <c r="A28" s="28">
        <v>20250705</v>
      </c>
      <c r="B28" s="30" t="s">
        <v>120</v>
      </c>
      <c r="C28" s="28" t="s">
        <v>112</v>
      </c>
      <c r="D28" s="28">
        <f ca="1">RANDBETWEEN(1400, 1600)</f>
        <v>1529</v>
      </c>
      <c r="E28" t="str">
        <f t="shared" si="0"/>
        <v>20250705003</v>
      </c>
    </row>
    <row r="29" spans="1:5" x14ac:dyDescent="0.3">
      <c r="A29" s="28">
        <v>20250705</v>
      </c>
      <c r="B29" s="30" t="s">
        <v>121</v>
      </c>
      <c r="C29" s="28" t="s">
        <v>113</v>
      </c>
      <c r="D29" s="28">
        <f ca="1">RANDBETWEEN(75,85)</f>
        <v>84</v>
      </c>
      <c r="E29" t="str">
        <f t="shared" si="0"/>
        <v>20250705004</v>
      </c>
    </row>
    <row r="30" spans="1:5" x14ac:dyDescent="0.3">
      <c r="A30" s="28">
        <v>20250705</v>
      </c>
      <c r="B30" s="30" t="s">
        <v>122</v>
      </c>
      <c r="C30" s="28" t="s">
        <v>123</v>
      </c>
      <c r="D30" s="28">
        <f ca="1">RANDBETWEEN(14,17)</f>
        <v>15</v>
      </c>
      <c r="E30" t="str">
        <f t="shared" si="0"/>
        <v>20250705005</v>
      </c>
    </row>
    <row r="31" spans="1:5" x14ac:dyDescent="0.3">
      <c r="A31" s="28">
        <v>20250705</v>
      </c>
      <c r="B31" s="30" t="s">
        <v>125</v>
      </c>
      <c r="C31" s="28" t="s">
        <v>124</v>
      </c>
      <c r="D31" s="28">
        <f ca="1">RANDBETWEEN(65,75)</f>
        <v>73</v>
      </c>
      <c r="E31" t="str">
        <f t="shared" si="0"/>
        <v>20250705006</v>
      </c>
    </row>
    <row r="32" spans="1:5" x14ac:dyDescent="0.3">
      <c r="A32" s="28">
        <v>20250706</v>
      </c>
      <c r="B32" s="30" t="s">
        <v>118</v>
      </c>
      <c r="C32" s="28" t="s">
        <v>111</v>
      </c>
      <c r="D32" s="28">
        <f ca="1">RANDBETWEEN(1300, 1450)</f>
        <v>1387</v>
      </c>
      <c r="E32" t="str">
        <f t="shared" si="0"/>
        <v>20250706001</v>
      </c>
    </row>
    <row r="33" spans="1:5" x14ac:dyDescent="0.3">
      <c r="A33" s="28">
        <v>20250706</v>
      </c>
      <c r="B33" s="30" t="s">
        <v>119</v>
      </c>
      <c r="C33" s="28" t="s">
        <v>110</v>
      </c>
      <c r="D33" s="28">
        <f ca="1">RANDBETWEEN(8,11)</f>
        <v>9</v>
      </c>
      <c r="E33" t="str">
        <f t="shared" si="0"/>
        <v>20250706002</v>
      </c>
    </row>
    <row r="34" spans="1:5" x14ac:dyDescent="0.3">
      <c r="A34" s="28">
        <v>20250706</v>
      </c>
      <c r="B34" s="30" t="s">
        <v>120</v>
      </c>
      <c r="C34" s="28" t="s">
        <v>112</v>
      </c>
      <c r="D34" s="28">
        <f ca="1">RANDBETWEEN(1400, 1600)</f>
        <v>1446</v>
      </c>
      <c r="E34" t="str">
        <f t="shared" si="0"/>
        <v>20250706003</v>
      </c>
    </row>
    <row r="35" spans="1:5" x14ac:dyDescent="0.3">
      <c r="A35" s="28">
        <v>20250706</v>
      </c>
      <c r="B35" s="30" t="s">
        <v>121</v>
      </c>
      <c r="C35" s="28" t="s">
        <v>113</v>
      </c>
      <c r="D35" s="28">
        <f ca="1">RANDBETWEEN(75,85)</f>
        <v>79</v>
      </c>
      <c r="E35" t="str">
        <f t="shared" si="0"/>
        <v>20250706004</v>
      </c>
    </row>
    <row r="36" spans="1:5" x14ac:dyDescent="0.3">
      <c r="A36" s="28">
        <v>20250706</v>
      </c>
      <c r="B36" s="30" t="s">
        <v>122</v>
      </c>
      <c r="C36" s="28" t="s">
        <v>123</v>
      </c>
      <c r="D36" s="28">
        <f ca="1">RANDBETWEEN(14,17)</f>
        <v>16</v>
      </c>
      <c r="E36" t="str">
        <f t="shared" si="0"/>
        <v>20250706005</v>
      </c>
    </row>
    <row r="37" spans="1:5" x14ac:dyDescent="0.3">
      <c r="A37" s="28">
        <v>20250706</v>
      </c>
      <c r="B37" s="30" t="s">
        <v>125</v>
      </c>
      <c r="C37" s="28" t="s">
        <v>124</v>
      </c>
      <c r="D37" s="28">
        <f ca="1">RANDBETWEEN(65,75)</f>
        <v>65</v>
      </c>
      <c r="E37" t="str">
        <f t="shared" si="0"/>
        <v>20250706006</v>
      </c>
    </row>
    <row r="38" spans="1:5" x14ac:dyDescent="0.3">
      <c r="A38" s="28">
        <v>20250707</v>
      </c>
      <c r="B38" s="30" t="s">
        <v>118</v>
      </c>
      <c r="C38" s="28" t="s">
        <v>111</v>
      </c>
      <c r="D38" s="28">
        <f ca="1">RANDBETWEEN(1300, 1450)</f>
        <v>1360</v>
      </c>
      <c r="E38" t="str">
        <f t="shared" si="0"/>
        <v>20250707001</v>
      </c>
    </row>
    <row r="39" spans="1:5" x14ac:dyDescent="0.3">
      <c r="A39" s="28">
        <v>20250707</v>
      </c>
      <c r="B39" s="30" t="s">
        <v>119</v>
      </c>
      <c r="C39" s="28" t="s">
        <v>110</v>
      </c>
      <c r="D39" s="28">
        <f ca="1">RANDBETWEEN(8,11)</f>
        <v>9</v>
      </c>
      <c r="E39" t="str">
        <f t="shared" si="0"/>
        <v>20250707002</v>
      </c>
    </row>
    <row r="40" spans="1:5" x14ac:dyDescent="0.3">
      <c r="A40" s="28">
        <v>20250707</v>
      </c>
      <c r="B40" s="30" t="s">
        <v>120</v>
      </c>
      <c r="C40" s="28" t="s">
        <v>112</v>
      </c>
      <c r="D40" s="28">
        <f ca="1">RANDBETWEEN(1400, 1600)</f>
        <v>1501</v>
      </c>
      <c r="E40" t="str">
        <f t="shared" si="0"/>
        <v>20250707003</v>
      </c>
    </row>
    <row r="41" spans="1:5" x14ac:dyDescent="0.3">
      <c r="A41" s="28">
        <v>20250707</v>
      </c>
      <c r="B41" s="30" t="s">
        <v>121</v>
      </c>
      <c r="C41" s="28" t="s">
        <v>113</v>
      </c>
      <c r="D41" s="28">
        <f ca="1">RANDBETWEEN(75,85)</f>
        <v>84</v>
      </c>
      <c r="E41" t="str">
        <f t="shared" si="0"/>
        <v>20250707004</v>
      </c>
    </row>
    <row r="42" spans="1:5" x14ac:dyDescent="0.3">
      <c r="A42" s="28">
        <v>20250707</v>
      </c>
      <c r="B42" s="30" t="s">
        <v>122</v>
      </c>
      <c r="C42" s="28" t="s">
        <v>123</v>
      </c>
      <c r="D42" s="28">
        <f ca="1">RANDBETWEEN(14,17)</f>
        <v>17</v>
      </c>
      <c r="E42" t="str">
        <f t="shared" si="0"/>
        <v>20250707005</v>
      </c>
    </row>
    <row r="43" spans="1:5" x14ac:dyDescent="0.3">
      <c r="A43" s="28">
        <v>20250707</v>
      </c>
      <c r="B43" s="30" t="s">
        <v>125</v>
      </c>
      <c r="C43" s="28" t="s">
        <v>124</v>
      </c>
      <c r="D43" s="28">
        <f ca="1">RANDBETWEEN(65,75)</f>
        <v>69</v>
      </c>
      <c r="E43" t="str">
        <f t="shared" si="0"/>
        <v>20250707006</v>
      </c>
    </row>
    <row r="44" spans="1:5" x14ac:dyDescent="0.3">
      <c r="B44" s="30"/>
    </row>
    <row r="45" spans="1:5" x14ac:dyDescent="0.3">
      <c r="B45" s="30"/>
    </row>
    <row r="46" spans="1:5" x14ac:dyDescent="0.3">
      <c r="B46" s="30"/>
    </row>
    <row r="47" spans="1:5" x14ac:dyDescent="0.3">
      <c r="B47" s="30"/>
    </row>
    <row r="48" spans="1:5" x14ac:dyDescent="0.3">
      <c r="B48" s="30"/>
    </row>
    <row r="49" spans="2:2" x14ac:dyDescent="0.3">
      <c r="B49" s="30"/>
    </row>
    <row r="50" spans="2:2" x14ac:dyDescent="0.3">
      <c r="B50" s="30"/>
    </row>
    <row r="51" spans="2:2" x14ac:dyDescent="0.3">
      <c r="B51" s="30"/>
    </row>
    <row r="52" spans="2:2" x14ac:dyDescent="0.3">
      <c r="B52" s="30"/>
    </row>
    <row r="53" spans="2:2" x14ac:dyDescent="0.3">
      <c r="B53" s="30"/>
    </row>
    <row r="54" spans="2:2" x14ac:dyDescent="0.3">
      <c r="B54" s="30"/>
    </row>
    <row r="55" spans="2:2" x14ac:dyDescent="0.3">
      <c r="B55" s="30"/>
    </row>
    <row r="56" spans="2:2" x14ac:dyDescent="0.3">
      <c r="B56" s="30"/>
    </row>
    <row r="57" spans="2:2" x14ac:dyDescent="0.3">
      <c r="B57" s="30"/>
    </row>
    <row r="58" spans="2:2" x14ac:dyDescent="0.3">
      <c r="B58" s="30"/>
    </row>
    <row r="59" spans="2:2" x14ac:dyDescent="0.3">
      <c r="B59" s="30"/>
    </row>
    <row r="60" spans="2:2" x14ac:dyDescent="0.3">
      <c r="B60" s="30"/>
    </row>
    <row r="61" spans="2:2" x14ac:dyDescent="0.3">
      <c r="B61" s="30"/>
    </row>
    <row r="62" spans="2:2" x14ac:dyDescent="0.3">
      <c r="B62" s="30"/>
    </row>
    <row r="63" spans="2:2" x14ac:dyDescent="0.3">
      <c r="B63" s="30"/>
    </row>
    <row r="64" spans="2:2" x14ac:dyDescent="0.3">
      <c r="B64" s="30"/>
    </row>
    <row r="65" spans="2:2" x14ac:dyDescent="0.3">
      <c r="B65" s="30"/>
    </row>
    <row r="66" spans="2:2" x14ac:dyDescent="0.3">
      <c r="B66" s="30"/>
    </row>
    <row r="67" spans="2:2" x14ac:dyDescent="0.3">
      <c r="B67" s="30"/>
    </row>
    <row r="68" spans="2:2" x14ac:dyDescent="0.3">
      <c r="B68" s="30"/>
    </row>
    <row r="69" spans="2:2" x14ac:dyDescent="0.3">
      <c r="B69" s="30"/>
    </row>
    <row r="70" spans="2:2" x14ac:dyDescent="0.3">
      <c r="B70" s="30"/>
    </row>
    <row r="71" spans="2:2" x14ac:dyDescent="0.3">
      <c r="B71" s="30"/>
    </row>
    <row r="72" spans="2:2" x14ac:dyDescent="0.3">
      <c r="B72" s="30"/>
    </row>
    <row r="73" spans="2:2" x14ac:dyDescent="0.3">
      <c r="B73" s="3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2003-447B-45D0-9531-43C752B64F5C}">
  <dimension ref="A1:E73"/>
  <sheetViews>
    <sheetView showGridLines="0" zoomScaleNormal="100" workbookViewId="0">
      <selection activeCell="E2" sqref="E2"/>
    </sheetView>
  </sheetViews>
  <sheetFormatPr defaultRowHeight="16.5" x14ac:dyDescent="0.3"/>
  <cols>
    <col min="1" max="5" width="8.75" style="28"/>
  </cols>
  <sheetData>
    <row r="1" spans="1:5" x14ac:dyDescent="0.3">
      <c r="A1" s="32" t="s">
        <v>134</v>
      </c>
      <c r="B1" s="32" t="s">
        <v>116</v>
      </c>
      <c r="C1" s="32" t="s">
        <v>117</v>
      </c>
      <c r="D1" s="32" t="s">
        <v>115</v>
      </c>
      <c r="E1" s="33" t="s">
        <v>128</v>
      </c>
    </row>
    <row r="2" spans="1:5" x14ac:dyDescent="0.3">
      <c r="A2" s="28">
        <v>202501</v>
      </c>
      <c r="B2" s="30" t="s">
        <v>118</v>
      </c>
      <c r="C2" s="28" t="s">
        <v>111</v>
      </c>
      <c r="D2" s="28">
        <f ca="1">RANDBETWEEN(1300, 1450)</f>
        <v>1375</v>
      </c>
      <c r="E2" s="28" t="str">
        <f>A2&amp;B2</f>
        <v>202501001</v>
      </c>
    </row>
    <row r="3" spans="1:5" x14ac:dyDescent="0.3">
      <c r="A3" s="28">
        <v>202501</v>
      </c>
      <c r="B3" s="30" t="s">
        <v>119</v>
      </c>
      <c r="C3" s="28" t="s">
        <v>110</v>
      </c>
      <c r="D3" s="28">
        <f ca="1">RANDBETWEEN(8,11)</f>
        <v>10</v>
      </c>
      <c r="E3" s="28" t="str">
        <f t="shared" ref="E3:E66" si="0">A3&amp;B3</f>
        <v>202501002</v>
      </c>
    </row>
    <row r="4" spans="1:5" x14ac:dyDescent="0.3">
      <c r="A4" s="28">
        <v>202501</v>
      </c>
      <c r="B4" s="30" t="s">
        <v>120</v>
      </c>
      <c r="C4" s="28" t="s">
        <v>112</v>
      </c>
      <c r="D4" s="28">
        <f ca="1">RANDBETWEEN(1400, 1600)</f>
        <v>1424</v>
      </c>
      <c r="E4" s="28" t="str">
        <f t="shared" si="0"/>
        <v>202501003</v>
      </c>
    </row>
    <row r="5" spans="1:5" x14ac:dyDescent="0.3">
      <c r="A5" s="28">
        <v>202501</v>
      </c>
      <c r="B5" s="30" t="s">
        <v>121</v>
      </c>
      <c r="C5" s="28" t="s">
        <v>113</v>
      </c>
      <c r="D5" s="28">
        <f ca="1">RANDBETWEEN(75,85)</f>
        <v>76</v>
      </c>
      <c r="E5" s="28" t="str">
        <f t="shared" si="0"/>
        <v>202501004</v>
      </c>
    </row>
    <row r="6" spans="1:5" x14ac:dyDescent="0.3">
      <c r="A6" s="28">
        <v>202501</v>
      </c>
      <c r="B6" s="30" t="s">
        <v>122</v>
      </c>
      <c r="C6" s="28" t="s">
        <v>123</v>
      </c>
      <c r="D6" s="28">
        <f ca="1">RANDBETWEEN(14,17)</f>
        <v>16</v>
      </c>
      <c r="E6" s="28" t="str">
        <f t="shared" si="0"/>
        <v>202501005</v>
      </c>
    </row>
    <row r="7" spans="1:5" x14ac:dyDescent="0.3">
      <c r="A7" s="28">
        <v>202501</v>
      </c>
      <c r="B7" s="30" t="s">
        <v>125</v>
      </c>
      <c r="C7" s="28" t="s">
        <v>124</v>
      </c>
      <c r="D7" s="28">
        <f ca="1">RANDBETWEEN(65,75)</f>
        <v>66</v>
      </c>
      <c r="E7" s="28" t="str">
        <f t="shared" si="0"/>
        <v>202501006</v>
      </c>
    </row>
    <row r="8" spans="1:5" x14ac:dyDescent="0.3">
      <c r="A8" s="28">
        <v>202502</v>
      </c>
      <c r="B8" s="30" t="s">
        <v>118</v>
      </c>
      <c r="C8" s="28" t="s">
        <v>111</v>
      </c>
      <c r="D8" s="28">
        <f ca="1">RANDBETWEEN(1300, 1450)</f>
        <v>1376</v>
      </c>
      <c r="E8" s="28" t="str">
        <f t="shared" si="0"/>
        <v>202502001</v>
      </c>
    </row>
    <row r="9" spans="1:5" x14ac:dyDescent="0.3">
      <c r="A9" s="28">
        <v>202502</v>
      </c>
      <c r="B9" s="30" t="s">
        <v>119</v>
      </c>
      <c r="C9" s="28" t="s">
        <v>110</v>
      </c>
      <c r="D9" s="28">
        <f ca="1">RANDBETWEEN(8,11)</f>
        <v>11</v>
      </c>
      <c r="E9" s="28" t="str">
        <f t="shared" si="0"/>
        <v>202502002</v>
      </c>
    </row>
    <row r="10" spans="1:5" x14ac:dyDescent="0.3">
      <c r="A10" s="28">
        <v>202502</v>
      </c>
      <c r="B10" s="30" t="s">
        <v>120</v>
      </c>
      <c r="C10" s="28" t="s">
        <v>112</v>
      </c>
      <c r="D10" s="28">
        <f ca="1">RANDBETWEEN(1400, 1600)</f>
        <v>1590</v>
      </c>
      <c r="E10" s="28" t="str">
        <f t="shared" si="0"/>
        <v>202502003</v>
      </c>
    </row>
    <row r="11" spans="1:5" x14ac:dyDescent="0.3">
      <c r="A11" s="28">
        <v>202502</v>
      </c>
      <c r="B11" s="30" t="s">
        <v>121</v>
      </c>
      <c r="C11" s="28" t="s">
        <v>113</v>
      </c>
      <c r="D11" s="28">
        <f ca="1">RANDBETWEEN(75,85)</f>
        <v>77</v>
      </c>
      <c r="E11" s="28" t="str">
        <f t="shared" si="0"/>
        <v>202502004</v>
      </c>
    </row>
    <row r="12" spans="1:5" x14ac:dyDescent="0.3">
      <c r="A12" s="28">
        <v>202502</v>
      </c>
      <c r="B12" s="30" t="s">
        <v>122</v>
      </c>
      <c r="C12" s="28" t="s">
        <v>123</v>
      </c>
      <c r="D12" s="28">
        <f ca="1">RANDBETWEEN(14,17)</f>
        <v>15</v>
      </c>
      <c r="E12" s="28" t="str">
        <f t="shared" si="0"/>
        <v>202502005</v>
      </c>
    </row>
    <row r="13" spans="1:5" x14ac:dyDescent="0.3">
      <c r="A13" s="28">
        <v>202502</v>
      </c>
      <c r="B13" s="30" t="s">
        <v>125</v>
      </c>
      <c r="C13" s="28" t="s">
        <v>124</v>
      </c>
      <c r="D13" s="28">
        <f ca="1">RANDBETWEEN(65,75)</f>
        <v>72</v>
      </c>
      <c r="E13" s="28" t="str">
        <f t="shared" si="0"/>
        <v>202502006</v>
      </c>
    </row>
    <row r="14" spans="1:5" x14ac:dyDescent="0.3">
      <c r="A14" s="28">
        <v>202503</v>
      </c>
      <c r="B14" s="30" t="s">
        <v>118</v>
      </c>
      <c r="C14" s="28" t="s">
        <v>111</v>
      </c>
      <c r="D14" s="28">
        <f ca="1">RANDBETWEEN(1300, 1450)</f>
        <v>1362</v>
      </c>
      <c r="E14" s="28" t="str">
        <f t="shared" si="0"/>
        <v>202503001</v>
      </c>
    </row>
    <row r="15" spans="1:5" x14ac:dyDescent="0.3">
      <c r="A15" s="28">
        <v>202503</v>
      </c>
      <c r="B15" s="30" t="s">
        <v>119</v>
      </c>
      <c r="C15" s="28" t="s">
        <v>110</v>
      </c>
      <c r="D15" s="28">
        <f ca="1">RANDBETWEEN(8,11)</f>
        <v>8</v>
      </c>
      <c r="E15" s="28" t="str">
        <f t="shared" si="0"/>
        <v>202503002</v>
      </c>
    </row>
    <row r="16" spans="1:5" x14ac:dyDescent="0.3">
      <c r="A16" s="28">
        <v>202503</v>
      </c>
      <c r="B16" s="30" t="s">
        <v>120</v>
      </c>
      <c r="C16" s="28" t="s">
        <v>112</v>
      </c>
      <c r="D16" s="28">
        <f ca="1">RANDBETWEEN(1400, 1600)</f>
        <v>1535</v>
      </c>
      <c r="E16" s="28" t="str">
        <f t="shared" si="0"/>
        <v>202503003</v>
      </c>
    </row>
    <row r="17" spans="1:5" x14ac:dyDescent="0.3">
      <c r="A17" s="28">
        <v>202503</v>
      </c>
      <c r="B17" s="30" t="s">
        <v>121</v>
      </c>
      <c r="C17" s="28" t="s">
        <v>113</v>
      </c>
      <c r="D17" s="28">
        <f ca="1">RANDBETWEEN(75,85)</f>
        <v>78</v>
      </c>
      <c r="E17" s="28" t="str">
        <f t="shared" si="0"/>
        <v>202503004</v>
      </c>
    </row>
    <row r="18" spans="1:5" x14ac:dyDescent="0.3">
      <c r="A18" s="28">
        <v>202503</v>
      </c>
      <c r="B18" s="30" t="s">
        <v>122</v>
      </c>
      <c r="C18" s="28" t="s">
        <v>123</v>
      </c>
      <c r="D18" s="28">
        <f ca="1">RANDBETWEEN(14,17)</f>
        <v>16</v>
      </c>
      <c r="E18" s="28" t="str">
        <f t="shared" si="0"/>
        <v>202503005</v>
      </c>
    </row>
    <row r="19" spans="1:5" x14ac:dyDescent="0.3">
      <c r="A19" s="28">
        <v>202503</v>
      </c>
      <c r="B19" s="30" t="s">
        <v>125</v>
      </c>
      <c r="C19" s="28" t="s">
        <v>124</v>
      </c>
      <c r="D19" s="28">
        <f ca="1">RANDBETWEEN(65,75)</f>
        <v>71</v>
      </c>
      <c r="E19" s="28" t="str">
        <f t="shared" si="0"/>
        <v>202503006</v>
      </c>
    </row>
    <row r="20" spans="1:5" x14ac:dyDescent="0.3">
      <c r="A20" s="28">
        <v>202504</v>
      </c>
      <c r="B20" s="30" t="s">
        <v>118</v>
      </c>
      <c r="C20" s="28" t="s">
        <v>111</v>
      </c>
      <c r="D20" s="28">
        <f ca="1">RANDBETWEEN(1300, 1450)</f>
        <v>1405</v>
      </c>
      <c r="E20" s="28" t="str">
        <f t="shared" si="0"/>
        <v>202504001</v>
      </c>
    </row>
    <row r="21" spans="1:5" x14ac:dyDescent="0.3">
      <c r="A21" s="28">
        <v>202504</v>
      </c>
      <c r="B21" s="30" t="s">
        <v>119</v>
      </c>
      <c r="C21" s="28" t="s">
        <v>110</v>
      </c>
      <c r="D21" s="28">
        <f ca="1">RANDBETWEEN(8,11)</f>
        <v>10</v>
      </c>
      <c r="E21" s="28" t="str">
        <f t="shared" si="0"/>
        <v>202504002</v>
      </c>
    </row>
    <row r="22" spans="1:5" x14ac:dyDescent="0.3">
      <c r="A22" s="28">
        <v>202504</v>
      </c>
      <c r="B22" s="30" t="s">
        <v>120</v>
      </c>
      <c r="C22" s="28" t="s">
        <v>112</v>
      </c>
      <c r="D22" s="28">
        <f ca="1">RANDBETWEEN(1400, 1600)</f>
        <v>1472</v>
      </c>
      <c r="E22" s="28" t="str">
        <f t="shared" si="0"/>
        <v>202504003</v>
      </c>
    </row>
    <row r="23" spans="1:5" x14ac:dyDescent="0.3">
      <c r="A23" s="28">
        <v>202504</v>
      </c>
      <c r="B23" s="30" t="s">
        <v>121</v>
      </c>
      <c r="C23" s="28" t="s">
        <v>113</v>
      </c>
      <c r="D23" s="28">
        <f ca="1">RANDBETWEEN(75,85)</f>
        <v>75</v>
      </c>
      <c r="E23" s="28" t="str">
        <f t="shared" si="0"/>
        <v>202504004</v>
      </c>
    </row>
    <row r="24" spans="1:5" x14ac:dyDescent="0.3">
      <c r="A24" s="28">
        <v>202504</v>
      </c>
      <c r="B24" s="30" t="s">
        <v>122</v>
      </c>
      <c r="C24" s="28" t="s">
        <v>123</v>
      </c>
      <c r="D24" s="28">
        <f ca="1">RANDBETWEEN(14,17)</f>
        <v>16</v>
      </c>
      <c r="E24" s="28" t="str">
        <f t="shared" si="0"/>
        <v>202504005</v>
      </c>
    </row>
    <row r="25" spans="1:5" x14ac:dyDescent="0.3">
      <c r="A25" s="28">
        <v>202504</v>
      </c>
      <c r="B25" s="30" t="s">
        <v>125</v>
      </c>
      <c r="C25" s="28" t="s">
        <v>124</v>
      </c>
      <c r="D25" s="28">
        <f ca="1">RANDBETWEEN(65,75)</f>
        <v>68</v>
      </c>
      <c r="E25" s="28" t="str">
        <f t="shared" si="0"/>
        <v>202504006</v>
      </c>
    </row>
    <row r="26" spans="1:5" x14ac:dyDescent="0.3">
      <c r="A26" s="28">
        <v>202505</v>
      </c>
      <c r="B26" s="30" t="s">
        <v>118</v>
      </c>
      <c r="C26" s="28" t="s">
        <v>111</v>
      </c>
      <c r="D26" s="28">
        <f ca="1">RANDBETWEEN(1300, 1450)</f>
        <v>1359</v>
      </c>
      <c r="E26" s="28" t="str">
        <f t="shared" si="0"/>
        <v>202505001</v>
      </c>
    </row>
    <row r="27" spans="1:5" x14ac:dyDescent="0.3">
      <c r="A27" s="28">
        <v>202505</v>
      </c>
      <c r="B27" s="30" t="s">
        <v>119</v>
      </c>
      <c r="C27" s="28" t="s">
        <v>110</v>
      </c>
      <c r="D27" s="28">
        <f ca="1">RANDBETWEEN(8,11)</f>
        <v>8</v>
      </c>
      <c r="E27" s="28" t="str">
        <f t="shared" si="0"/>
        <v>202505002</v>
      </c>
    </row>
    <row r="28" spans="1:5" x14ac:dyDescent="0.3">
      <c r="A28" s="28">
        <v>202505</v>
      </c>
      <c r="B28" s="30" t="s">
        <v>120</v>
      </c>
      <c r="C28" s="28" t="s">
        <v>112</v>
      </c>
      <c r="D28" s="28">
        <f ca="1">RANDBETWEEN(1400, 1600)</f>
        <v>1552</v>
      </c>
      <c r="E28" s="28" t="str">
        <f t="shared" si="0"/>
        <v>202505003</v>
      </c>
    </row>
    <row r="29" spans="1:5" x14ac:dyDescent="0.3">
      <c r="A29" s="28">
        <v>202505</v>
      </c>
      <c r="B29" s="30" t="s">
        <v>121</v>
      </c>
      <c r="C29" s="28" t="s">
        <v>113</v>
      </c>
      <c r="D29" s="28">
        <f ca="1">RANDBETWEEN(75,85)</f>
        <v>84</v>
      </c>
      <c r="E29" s="28" t="str">
        <f t="shared" si="0"/>
        <v>202505004</v>
      </c>
    </row>
    <row r="30" spans="1:5" x14ac:dyDescent="0.3">
      <c r="A30" s="28">
        <v>202505</v>
      </c>
      <c r="B30" s="30" t="s">
        <v>122</v>
      </c>
      <c r="C30" s="28" t="s">
        <v>123</v>
      </c>
      <c r="D30" s="28">
        <f ca="1">RANDBETWEEN(14,17)</f>
        <v>17</v>
      </c>
      <c r="E30" s="28" t="str">
        <f t="shared" si="0"/>
        <v>202505005</v>
      </c>
    </row>
    <row r="31" spans="1:5" x14ac:dyDescent="0.3">
      <c r="A31" s="28">
        <v>202505</v>
      </c>
      <c r="B31" s="30" t="s">
        <v>125</v>
      </c>
      <c r="C31" s="28" t="s">
        <v>124</v>
      </c>
      <c r="D31" s="28">
        <f ca="1">RANDBETWEEN(65,75)</f>
        <v>73</v>
      </c>
      <c r="E31" s="28" t="str">
        <f t="shared" si="0"/>
        <v>202505006</v>
      </c>
    </row>
    <row r="32" spans="1:5" x14ac:dyDescent="0.3">
      <c r="A32" s="28">
        <v>202506</v>
      </c>
      <c r="B32" s="30" t="s">
        <v>118</v>
      </c>
      <c r="C32" s="28" t="s">
        <v>111</v>
      </c>
      <c r="D32" s="28">
        <f ca="1">RANDBETWEEN(1300, 1450)</f>
        <v>1321</v>
      </c>
      <c r="E32" s="28" t="str">
        <f t="shared" si="0"/>
        <v>202506001</v>
      </c>
    </row>
    <row r="33" spans="1:5" x14ac:dyDescent="0.3">
      <c r="A33" s="28">
        <v>202506</v>
      </c>
      <c r="B33" s="30" t="s">
        <v>119</v>
      </c>
      <c r="C33" s="28" t="s">
        <v>110</v>
      </c>
      <c r="D33" s="28">
        <f ca="1">RANDBETWEEN(8,11)</f>
        <v>9</v>
      </c>
      <c r="E33" s="28" t="str">
        <f t="shared" si="0"/>
        <v>202506002</v>
      </c>
    </row>
    <row r="34" spans="1:5" x14ac:dyDescent="0.3">
      <c r="A34" s="28">
        <v>202506</v>
      </c>
      <c r="B34" s="30" t="s">
        <v>120</v>
      </c>
      <c r="C34" s="28" t="s">
        <v>112</v>
      </c>
      <c r="D34" s="28">
        <f ca="1">RANDBETWEEN(1400, 1600)</f>
        <v>1509</v>
      </c>
      <c r="E34" s="28" t="str">
        <f t="shared" si="0"/>
        <v>202506003</v>
      </c>
    </row>
    <row r="35" spans="1:5" x14ac:dyDescent="0.3">
      <c r="A35" s="28">
        <v>202506</v>
      </c>
      <c r="B35" s="30" t="s">
        <v>121</v>
      </c>
      <c r="C35" s="28" t="s">
        <v>113</v>
      </c>
      <c r="D35" s="28">
        <f ca="1">RANDBETWEEN(75,85)</f>
        <v>75</v>
      </c>
      <c r="E35" s="28" t="str">
        <f t="shared" si="0"/>
        <v>202506004</v>
      </c>
    </row>
    <row r="36" spans="1:5" x14ac:dyDescent="0.3">
      <c r="A36" s="28">
        <v>202506</v>
      </c>
      <c r="B36" s="30" t="s">
        <v>122</v>
      </c>
      <c r="C36" s="28" t="s">
        <v>123</v>
      </c>
      <c r="D36" s="28">
        <f ca="1">RANDBETWEEN(14,17)</f>
        <v>14</v>
      </c>
      <c r="E36" s="28" t="str">
        <f t="shared" si="0"/>
        <v>202506005</v>
      </c>
    </row>
    <row r="37" spans="1:5" x14ac:dyDescent="0.3">
      <c r="A37" s="28">
        <v>202506</v>
      </c>
      <c r="B37" s="30" t="s">
        <v>125</v>
      </c>
      <c r="C37" s="28" t="s">
        <v>124</v>
      </c>
      <c r="D37" s="28">
        <f ca="1">RANDBETWEEN(65,75)</f>
        <v>67</v>
      </c>
      <c r="E37" s="28" t="str">
        <f t="shared" si="0"/>
        <v>202506006</v>
      </c>
    </row>
    <row r="38" spans="1:5" x14ac:dyDescent="0.3">
      <c r="A38" s="28">
        <v>202507</v>
      </c>
      <c r="B38" s="30" t="s">
        <v>118</v>
      </c>
      <c r="C38" s="28" t="s">
        <v>111</v>
      </c>
      <c r="D38" s="28">
        <f ca="1">RANDBETWEEN(1300, 1450)</f>
        <v>1332</v>
      </c>
      <c r="E38" s="28" t="str">
        <f t="shared" si="0"/>
        <v>202507001</v>
      </c>
    </row>
    <row r="39" spans="1:5" x14ac:dyDescent="0.3">
      <c r="A39" s="28">
        <v>202507</v>
      </c>
      <c r="B39" s="30" t="s">
        <v>119</v>
      </c>
      <c r="C39" s="28" t="s">
        <v>110</v>
      </c>
      <c r="D39" s="28">
        <f ca="1">RANDBETWEEN(8,11)</f>
        <v>11</v>
      </c>
      <c r="E39" s="28" t="str">
        <f t="shared" si="0"/>
        <v>202507002</v>
      </c>
    </row>
    <row r="40" spans="1:5" x14ac:dyDescent="0.3">
      <c r="A40" s="28">
        <v>202507</v>
      </c>
      <c r="B40" s="30" t="s">
        <v>120</v>
      </c>
      <c r="C40" s="28" t="s">
        <v>112</v>
      </c>
      <c r="D40" s="28">
        <f ca="1">RANDBETWEEN(1400, 1600)</f>
        <v>1545</v>
      </c>
      <c r="E40" s="28" t="str">
        <f t="shared" si="0"/>
        <v>202507003</v>
      </c>
    </row>
    <row r="41" spans="1:5" x14ac:dyDescent="0.3">
      <c r="A41" s="28">
        <v>202507</v>
      </c>
      <c r="B41" s="30" t="s">
        <v>121</v>
      </c>
      <c r="C41" s="28" t="s">
        <v>113</v>
      </c>
      <c r="D41" s="28">
        <f ca="1">RANDBETWEEN(75,85)</f>
        <v>83</v>
      </c>
      <c r="E41" s="28" t="str">
        <f t="shared" si="0"/>
        <v>202507004</v>
      </c>
    </row>
    <row r="42" spans="1:5" x14ac:dyDescent="0.3">
      <c r="A42" s="28">
        <v>202507</v>
      </c>
      <c r="B42" s="30" t="s">
        <v>122</v>
      </c>
      <c r="C42" s="28" t="s">
        <v>123</v>
      </c>
      <c r="D42" s="28">
        <f ca="1">RANDBETWEEN(14,17)</f>
        <v>16</v>
      </c>
      <c r="E42" s="28" t="str">
        <f t="shared" si="0"/>
        <v>202507005</v>
      </c>
    </row>
    <row r="43" spans="1:5" x14ac:dyDescent="0.3">
      <c r="A43" s="28">
        <v>202507</v>
      </c>
      <c r="B43" s="30" t="s">
        <v>125</v>
      </c>
      <c r="C43" s="28" t="s">
        <v>124</v>
      </c>
      <c r="D43" s="28">
        <f ca="1">RANDBETWEEN(65,75)</f>
        <v>72</v>
      </c>
      <c r="E43" s="28" t="str">
        <f t="shared" si="0"/>
        <v>202507006</v>
      </c>
    </row>
    <row r="44" spans="1:5" x14ac:dyDescent="0.3">
      <c r="A44" s="28">
        <v>202508</v>
      </c>
      <c r="B44" s="30" t="s">
        <v>118</v>
      </c>
      <c r="C44" s="28" t="s">
        <v>111</v>
      </c>
      <c r="D44" s="28">
        <f ca="1">RANDBETWEEN(1300, 1450)</f>
        <v>1403</v>
      </c>
      <c r="E44" s="28" t="str">
        <f t="shared" si="0"/>
        <v>202508001</v>
      </c>
    </row>
    <row r="45" spans="1:5" x14ac:dyDescent="0.3">
      <c r="A45" s="28">
        <v>202508</v>
      </c>
      <c r="B45" s="30" t="s">
        <v>119</v>
      </c>
      <c r="C45" s="28" t="s">
        <v>110</v>
      </c>
      <c r="D45" s="28">
        <f ca="1">RANDBETWEEN(8,11)</f>
        <v>8</v>
      </c>
      <c r="E45" s="28" t="str">
        <f t="shared" si="0"/>
        <v>202508002</v>
      </c>
    </row>
    <row r="46" spans="1:5" x14ac:dyDescent="0.3">
      <c r="A46" s="28">
        <v>202508</v>
      </c>
      <c r="B46" s="30" t="s">
        <v>120</v>
      </c>
      <c r="C46" s="28" t="s">
        <v>112</v>
      </c>
      <c r="D46" s="28">
        <f ca="1">RANDBETWEEN(1400, 1600)</f>
        <v>1559</v>
      </c>
      <c r="E46" s="28" t="str">
        <f t="shared" si="0"/>
        <v>202508003</v>
      </c>
    </row>
    <row r="47" spans="1:5" x14ac:dyDescent="0.3">
      <c r="A47" s="28">
        <v>202508</v>
      </c>
      <c r="B47" s="30" t="s">
        <v>121</v>
      </c>
      <c r="C47" s="28" t="s">
        <v>113</v>
      </c>
      <c r="D47" s="28">
        <f ca="1">RANDBETWEEN(75,85)</f>
        <v>82</v>
      </c>
      <c r="E47" s="28" t="str">
        <f t="shared" si="0"/>
        <v>202508004</v>
      </c>
    </row>
    <row r="48" spans="1:5" x14ac:dyDescent="0.3">
      <c r="A48" s="28">
        <v>202508</v>
      </c>
      <c r="B48" s="30" t="s">
        <v>122</v>
      </c>
      <c r="C48" s="28" t="s">
        <v>123</v>
      </c>
      <c r="D48" s="28">
        <f ca="1">RANDBETWEEN(14,17)</f>
        <v>14</v>
      </c>
      <c r="E48" s="28" t="str">
        <f t="shared" si="0"/>
        <v>202508005</v>
      </c>
    </row>
    <row r="49" spans="1:5" x14ac:dyDescent="0.3">
      <c r="A49" s="28">
        <v>202508</v>
      </c>
      <c r="B49" s="30" t="s">
        <v>125</v>
      </c>
      <c r="C49" s="28" t="s">
        <v>124</v>
      </c>
      <c r="D49" s="28">
        <f ca="1">RANDBETWEEN(65,75)</f>
        <v>66</v>
      </c>
      <c r="E49" s="28" t="str">
        <f t="shared" si="0"/>
        <v>202508006</v>
      </c>
    </row>
    <row r="50" spans="1:5" x14ac:dyDescent="0.3">
      <c r="A50" s="28">
        <v>202509</v>
      </c>
      <c r="B50" s="30" t="s">
        <v>118</v>
      </c>
      <c r="C50" s="28" t="s">
        <v>111</v>
      </c>
      <c r="D50" s="28">
        <f ca="1">RANDBETWEEN(1300, 1450)</f>
        <v>1439</v>
      </c>
      <c r="E50" s="28" t="str">
        <f t="shared" si="0"/>
        <v>202509001</v>
      </c>
    </row>
    <row r="51" spans="1:5" x14ac:dyDescent="0.3">
      <c r="A51" s="28">
        <v>202509</v>
      </c>
      <c r="B51" s="30" t="s">
        <v>119</v>
      </c>
      <c r="C51" s="28" t="s">
        <v>110</v>
      </c>
      <c r="D51" s="28">
        <f ca="1">RANDBETWEEN(8,11)</f>
        <v>11</v>
      </c>
      <c r="E51" s="28" t="str">
        <f t="shared" si="0"/>
        <v>202509002</v>
      </c>
    </row>
    <row r="52" spans="1:5" x14ac:dyDescent="0.3">
      <c r="A52" s="28">
        <v>202509</v>
      </c>
      <c r="B52" s="30" t="s">
        <v>120</v>
      </c>
      <c r="C52" s="28" t="s">
        <v>112</v>
      </c>
      <c r="D52" s="28">
        <f ca="1">RANDBETWEEN(1400, 1600)</f>
        <v>1565</v>
      </c>
      <c r="E52" s="28" t="str">
        <f t="shared" si="0"/>
        <v>202509003</v>
      </c>
    </row>
    <row r="53" spans="1:5" x14ac:dyDescent="0.3">
      <c r="A53" s="28">
        <v>202509</v>
      </c>
      <c r="B53" s="30" t="s">
        <v>121</v>
      </c>
      <c r="C53" s="28" t="s">
        <v>113</v>
      </c>
      <c r="D53" s="28">
        <f ca="1">RANDBETWEEN(75,85)</f>
        <v>84</v>
      </c>
      <c r="E53" s="28" t="str">
        <f t="shared" si="0"/>
        <v>202509004</v>
      </c>
    </row>
    <row r="54" spans="1:5" x14ac:dyDescent="0.3">
      <c r="A54" s="28">
        <v>202509</v>
      </c>
      <c r="B54" s="30" t="s">
        <v>122</v>
      </c>
      <c r="C54" s="28" t="s">
        <v>123</v>
      </c>
      <c r="D54" s="28">
        <f ca="1">RANDBETWEEN(14,17)</f>
        <v>14</v>
      </c>
      <c r="E54" s="28" t="str">
        <f t="shared" si="0"/>
        <v>202509005</v>
      </c>
    </row>
    <row r="55" spans="1:5" x14ac:dyDescent="0.3">
      <c r="A55" s="28">
        <v>202509</v>
      </c>
      <c r="B55" s="30" t="s">
        <v>125</v>
      </c>
      <c r="C55" s="28" t="s">
        <v>124</v>
      </c>
      <c r="D55" s="28">
        <f ca="1">RANDBETWEEN(65,75)</f>
        <v>74</v>
      </c>
      <c r="E55" s="28" t="str">
        <f t="shared" si="0"/>
        <v>202509006</v>
      </c>
    </row>
    <row r="56" spans="1:5" x14ac:dyDescent="0.3">
      <c r="A56" s="28">
        <v>202510</v>
      </c>
      <c r="B56" s="30" t="s">
        <v>118</v>
      </c>
      <c r="C56" s="28" t="s">
        <v>111</v>
      </c>
      <c r="D56" s="28">
        <f ca="1">RANDBETWEEN(1300, 1450)</f>
        <v>1424</v>
      </c>
      <c r="E56" s="28" t="str">
        <f t="shared" si="0"/>
        <v>202510001</v>
      </c>
    </row>
    <row r="57" spans="1:5" x14ac:dyDescent="0.3">
      <c r="A57" s="28">
        <v>202510</v>
      </c>
      <c r="B57" s="30" t="s">
        <v>119</v>
      </c>
      <c r="C57" s="28" t="s">
        <v>110</v>
      </c>
      <c r="D57" s="28">
        <f ca="1">RANDBETWEEN(8,11)</f>
        <v>10</v>
      </c>
      <c r="E57" s="28" t="str">
        <f t="shared" si="0"/>
        <v>202510002</v>
      </c>
    </row>
    <row r="58" spans="1:5" x14ac:dyDescent="0.3">
      <c r="A58" s="28">
        <v>202510</v>
      </c>
      <c r="B58" s="30" t="s">
        <v>120</v>
      </c>
      <c r="C58" s="28" t="s">
        <v>112</v>
      </c>
      <c r="D58" s="28">
        <f ca="1">RANDBETWEEN(1400, 1600)</f>
        <v>1559</v>
      </c>
      <c r="E58" s="28" t="str">
        <f t="shared" si="0"/>
        <v>202510003</v>
      </c>
    </row>
    <row r="59" spans="1:5" x14ac:dyDescent="0.3">
      <c r="A59" s="28">
        <v>202510</v>
      </c>
      <c r="B59" s="30" t="s">
        <v>121</v>
      </c>
      <c r="C59" s="28" t="s">
        <v>113</v>
      </c>
      <c r="D59" s="28">
        <f ca="1">RANDBETWEEN(75,85)</f>
        <v>83</v>
      </c>
      <c r="E59" s="28" t="str">
        <f t="shared" si="0"/>
        <v>202510004</v>
      </c>
    </row>
    <row r="60" spans="1:5" x14ac:dyDescent="0.3">
      <c r="A60" s="28">
        <v>202510</v>
      </c>
      <c r="B60" s="30" t="s">
        <v>122</v>
      </c>
      <c r="C60" s="28" t="s">
        <v>123</v>
      </c>
      <c r="D60" s="28">
        <f ca="1">RANDBETWEEN(14,17)</f>
        <v>16</v>
      </c>
      <c r="E60" s="28" t="str">
        <f t="shared" si="0"/>
        <v>202510005</v>
      </c>
    </row>
    <row r="61" spans="1:5" x14ac:dyDescent="0.3">
      <c r="A61" s="28">
        <v>202510</v>
      </c>
      <c r="B61" s="30" t="s">
        <v>125</v>
      </c>
      <c r="C61" s="28" t="s">
        <v>124</v>
      </c>
      <c r="D61" s="28">
        <f ca="1">RANDBETWEEN(65,75)</f>
        <v>67</v>
      </c>
      <c r="E61" s="28" t="str">
        <f t="shared" si="0"/>
        <v>202510006</v>
      </c>
    </row>
    <row r="62" spans="1:5" x14ac:dyDescent="0.3">
      <c r="A62" s="28">
        <v>202511</v>
      </c>
      <c r="B62" s="30" t="s">
        <v>118</v>
      </c>
      <c r="C62" s="28" t="s">
        <v>111</v>
      </c>
      <c r="D62" s="28">
        <f ca="1">RANDBETWEEN(1300, 1450)</f>
        <v>1332</v>
      </c>
      <c r="E62" s="28" t="str">
        <f t="shared" si="0"/>
        <v>202511001</v>
      </c>
    </row>
    <row r="63" spans="1:5" x14ac:dyDescent="0.3">
      <c r="A63" s="28">
        <v>202511</v>
      </c>
      <c r="B63" s="30" t="s">
        <v>119</v>
      </c>
      <c r="C63" s="28" t="s">
        <v>110</v>
      </c>
      <c r="D63" s="28">
        <f ca="1">RANDBETWEEN(8,11)</f>
        <v>11</v>
      </c>
      <c r="E63" s="28" t="str">
        <f t="shared" si="0"/>
        <v>202511002</v>
      </c>
    </row>
    <row r="64" spans="1:5" x14ac:dyDescent="0.3">
      <c r="A64" s="28">
        <v>202511</v>
      </c>
      <c r="B64" s="30" t="s">
        <v>120</v>
      </c>
      <c r="C64" s="28" t="s">
        <v>112</v>
      </c>
      <c r="D64" s="28">
        <f ca="1">RANDBETWEEN(1400, 1600)</f>
        <v>1409</v>
      </c>
      <c r="E64" s="28" t="str">
        <f t="shared" si="0"/>
        <v>202511003</v>
      </c>
    </row>
    <row r="65" spans="1:5" x14ac:dyDescent="0.3">
      <c r="A65" s="28">
        <v>202511</v>
      </c>
      <c r="B65" s="30" t="s">
        <v>121</v>
      </c>
      <c r="C65" s="28" t="s">
        <v>113</v>
      </c>
      <c r="D65" s="28">
        <f ca="1">RANDBETWEEN(75,85)</f>
        <v>77</v>
      </c>
      <c r="E65" s="28" t="str">
        <f t="shared" si="0"/>
        <v>202511004</v>
      </c>
    </row>
    <row r="66" spans="1:5" x14ac:dyDescent="0.3">
      <c r="A66" s="28">
        <v>202511</v>
      </c>
      <c r="B66" s="30" t="s">
        <v>122</v>
      </c>
      <c r="C66" s="28" t="s">
        <v>123</v>
      </c>
      <c r="D66" s="28">
        <f ca="1">RANDBETWEEN(14,17)</f>
        <v>16</v>
      </c>
      <c r="E66" s="28" t="str">
        <f t="shared" si="0"/>
        <v>202511005</v>
      </c>
    </row>
    <row r="67" spans="1:5" x14ac:dyDescent="0.3">
      <c r="A67" s="28">
        <v>202511</v>
      </c>
      <c r="B67" s="30" t="s">
        <v>125</v>
      </c>
      <c r="C67" s="28" t="s">
        <v>124</v>
      </c>
      <c r="D67" s="28">
        <f ca="1">RANDBETWEEN(65,75)</f>
        <v>68</v>
      </c>
      <c r="E67" s="28" t="str">
        <f t="shared" ref="E67:E73" si="1">A67&amp;B67</f>
        <v>202511006</v>
      </c>
    </row>
    <row r="68" spans="1:5" x14ac:dyDescent="0.3">
      <c r="A68" s="28">
        <v>202512</v>
      </c>
      <c r="B68" s="30" t="s">
        <v>118</v>
      </c>
      <c r="C68" s="28" t="s">
        <v>111</v>
      </c>
      <c r="D68" s="28">
        <f ca="1">RANDBETWEEN(1300, 1450)</f>
        <v>1385</v>
      </c>
      <c r="E68" s="28" t="str">
        <f t="shared" si="1"/>
        <v>202512001</v>
      </c>
    </row>
    <row r="69" spans="1:5" x14ac:dyDescent="0.3">
      <c r="A69" s="28">
        <v>202512</v>
      </c>
      <c r="B69" s="30" t="s">
        <v>119</v>
      </c>
      <c r="C69" s="28" t="s">
        <v>110</v>
      </c>
      <c r="D69" s="28">
        <f ca="1">RANDBETWEEN(8,11)</f>
        <v>9</v>
      </c>
      <c r="E69" s="28" t="str">
        <f t="shared" si="1"/>
        <v>202512002</v>
      </c>
    </row>
    <row r="70" spans="1:5" x14ac:dyDescent="0.3">
      <c r="A70" s="28">
        <v>202512</v>
      </c>
      <c r="B70" s="30" t="s">
        <v>120</v>
      </c>
      <c r="C70" s="28" t="s">
        <v>112</v>
      </c>
      <c r="D70" s="28">
        <f ca="1">RANDBETWEEN(1400, 1600)</f>
        <v>1600</v>
      </c>
      <c r="E70" s="28" t="str">
        <f t="shared" si="1"/>
        <v>202512003</v>
      </c>
    </row>
    <row r="71" spans="1:5" x14ac:dyDescent="0.3">
      <c r="A71" s="28">
        <v>202512</v>
      </c>
      <c r="B71" s="30" t="s">
        <v>121</v>
      </c>
      <c r="C71" s="28" t="s">
        <v>113</v>
      </c>
      <c r="D71" s="28">
        <f ca="1">RANDBETWEEN(75,85)</f>
        <v>79</v>
      </c>
      <c r="E71" s="28" t="str">
        <f t="shared" si="1"/>
        <v>202512004</v>
      </c>
    </row>
    <row r="72" spans="1:5" x14ac:dyDescent="0.3">
      <c r="A72" s="28">
        <v>202512</v>
      </c>
      <c r="B72" s="30" t="s">
        <v>122</v>
      </c>
      <c r="C72" s="28" t="s">
        <v>123</v>
      </c>
      <c r="D72" s="28">
        <f ca="1">RANDBETWEEN(14,17)</f>
        <v>15</v>
      </c>
      <c r="E72" s="28" t="str">
        <f t="shared" si="1"/>
        <v>202512005</v>
      </c>
    </row>
    <row r="73" spans="1:5" x14ac:dyDescent="0.3">
      <c r="A73" s="28">
        <v>202512</v>
      </c>
      <c r="B73" s="30" t="s">
        <v>125</v>
      </c>
      <c r="C73" s="28" t="s">
        <v>124</v>
      </c>
      <c r="D73" s="28">
        <f ca="1">RANDBETWEEN(65,75)</f>
        <v>68</v>
      </c>
      <c r="E73" s="28" t="str">
        <f t="shared" si="1"/>
        <v>202512006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0779-ACEC-49E5-92B2-C3F1F8991323}">
  <dimension ref="B1:E24"/>
  <sheetViews>
    <sheetView showGridLines="0" topLeftCell="A5" zoomScaleNormal="100" workbookViewId="0">
      <selection activeCell="C9" sqref="C9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126</v>
      </c>
      <c r="C8" s="3">
        <v>20250703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8B54-B738-4F56-BF90-C19D36AC13F7}">
  <dimension ref="A1:F40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96</v>
      </c>
    </row>
    <row r="3" spans="2:5" ht="9" customHeight="1" x14ac:dyDescent="0.3"/>
    <row r="4" spans="2:5" x14ac:dyDescent="0.3">
      <c r="B4" t="s">
        <v>91</v>
      </c>
    </row>
    <row r="5" spans="2:5" x14ac:dyDescent="0.3">
      <c r="B5" t="s">
        <v>92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13" t="s">
        <v>24</v>
      </c>
      <c r="D12" s="14" t="s">
        <v>25</v>
      </c>
      <c r="E12" s="15"/>
    </row>
    <row r="13" spans="2:5" ht="18" customHeight="1" x14ac:dyDescent="0.3">
      <c r="B13" s="16" t="s">
        <v>26</v>
      </c>
      <c r="C13" s="20" t="s">
        <v>27</v>
      </c>
      <c r="D13" s="18" t="s">
        <v>28</v>
      </c>
      <c r="E13" s="19"/>
    </row>
    <row r="14" spans="2:5" ht="72.75" customHeight="1" x14ac:dyDescent="0.3">
      <c r="B14" s="16" t="s">
        <v>29</v>
      </c>
      <c r="C14" s="13" t="s">
        <v>30</v>
      </c>
      <c r="D14" s="14" t="s">
        <v>31</v>
      </c>
      <c r="E14" s="15"/>
    </row>
    <row r="15" spans="2:5" ht="72.75" customHeight="1" x14ac:dyDescent="0.3">
      <c r="B15" s="16" t="s">
        <v>32</v>
      </c>
      <c r="C15" s="17" t="s">
        <v>97</v>
      </c>
      <c r="D15" s="18" t="s">
        <v>33</v>
      </c>
      <c r="E15" s="19"/>
    </row>
    <row r="16" spans="2:5" ht="33" x14ac:dyDescent="0.3">
      <c r="B16" s="16" t="s">
        <v>34</v>
      </c>
      <c r="C16" s="21" t="s">
        <v>35</v>
      </c>
      <c r="D16" s="14" t="s">
        <v>36</v>
      </c>
      <c r="E16" s="15" t="s">
        <v>37</v>
      </c>
    </row>
    <row r="17" spans="1:5" ht="33" x14ac:dyDescent="0.3">
      <c r="B17" s="16" t="s">
        <v>38</v>
      </c>
      <c r="C17" s="20" t="s">
        <v>35</v>
      </c>
      <c r="D17" s="18" t="s">
        <v>39</v>
      </c>
      <c r="E17" s="19" t="s">
        <v>37</v>
      </c>
    </row>
    <row r="18" spans="1:5" x14ac:dyDescent="0.3">
      <c r="B18" s="16" t="s">
        <v>40</v>
      </c>
      <c r="C18" s="21" t="s">
        <v>41</v>
      </c>
      <c r="D18" s="14" t="s">
        <v>41</v>
      </c>
      <c r="E18" s="15" t="s">
        <v>37</v>
      </c>
    </row>
    <row r="19" spans="1:5" ht="33" x14ac:dyDescent="0.3">
      <c r="B19" s="16" t="s">
        <v>42</v>
      </c>
      <c r="C19" s="20" t="s">
        <v>43</v>
      </c>
      <c r="D19" s="18" t="s">
        <v>44</v>
      </c>
      <c r="E19" s="19" t="s">
        <v>45</v>
      </c>
    </row>
    <row r="20" spans="1:5" x14ac:dyDescent="0.3">
      <c r="A20" s="22"/>
      <c r="B20" s="23" t="s">
        <v>46</v>
      </c>
      <c r="C20" s="21" t="s">
        <v>47</v>
      </c>
      <c r="D20" s="14" t="s">
        <v>48</v>
      </c>
      <c r="E20" s="15" t="s">
        <v>49</v>
      </c>
    </row>
    <row r="21" spans="1:5" ht="72.75" customHeight="1" x14ac:dyDescent="0.3">
      <c r="B21" s="16" t="s">
        <v>98</v>
      </c>
      <c r="C21" s="17" t="s">
        <v>99</v>
      </c>
      <c r="D21" s="18" t="s">
        <v>100</v>
      </c>
      <c r="E21" s="19" t="s">
        <v>101</v>
      </c>
    </row>
    <row r="24" spans="1:5" ht="20.25" x14ac:dyDescent="0.3">
      <c r="B24" s="8" t="s">
        <v>50</v>
      </c>
      <c r="C24" s="9"/>
      <c r="D24" s="9"/>
      <c r="E24" s="10" t="s">
        <v>6</v>
      </c>
    </row>
    <row r="25" spans="1:5" ht="8.25" customHeight="1" x14ac:dyDescent="0.3"/>
    <row r="26" spans="1:5" x14ac:dyDescent="0.3">
      <c r="B26" t="s">
        <v>93</v>
      </c>
    </row>
    <row r="27" spans="1:5" ht="6" customHeight="1" x14ac:dyDescent="0.3"/>
    <row r="28" spans="1:5" x14ac:dyDescent="0.3">
      <c r="B28" s="11" t="s">
        <v>51</v>
      </c>
      <c r="C28" s="11" t="s">
        <v>8</v>
      </c>
      <c r="D28" s="11" t="s">
        <v>9</v>
      </c>
      <c r="E28" s="11" t="s">
        <v>10</v>
      </c>
    </row>
    <row r="29" spans="1:5" ht="36.75" customHeight="1" x14ac:dyDescent="0.3">
      <c r="B29" s="12" t="s">
        <v>52</v>
      </c>
      <c r="C29" s="13" t="s">
        <v>53</v>
      </c>
      <c r="D29" s="24" t="s">
        <v>54</v>
      </c>
      <c r="E29" s="25" t="s">
        <v>55</v>
      </c>
    </row>
    <row r="30" spans="1:5" ht="36.75" customHeight="1" x14ac:dyDescent="0.3">
      <c r="B30" s="16" t="s">
        <v>56</v>
      </c>
      <c r="C30" s="17" t="s">
        <v>57</v>
      </c>
      <c r="D30" s="18" t="s">
        <v>58</v>
      </c>
      <c r="E30" s="19" t="s">
        <v>55</v>
      </c>
    </row>
    <row r="31" spans="1:5" ht="81" customHeight="1" x14ac:dyDescent="0.3">
      <c r="B31" s="16" t="s">
        <v>59</v>
      </c>
      <c r="C31" s="13" t="s">
        <v>60</v>
      </c>
      <c r="D31" s="24" t="s">
        <v>61</v>
      </c>
      <c r="E31" s="15" t="s">
        <v>55</v>
      </c>
    </row>
    <row r="32" spans="1:5" ht="223.5" customHeight="1" x14ac:dyDescent="0.3">
      <c r="B32" s="16" t="s">
        <v>62</v>
      </c>
      <c r="C32" s="17" t="s">
        <v>63</v>
      </c>
      <c r="D32" s="18" t="s">
        <v>64</v>
      </c>
      <c r="E32" s="19" t="s">
        <v>55</v>
      </c>
    </row>
    <row r="33" spans="2:6" ht="115.5" x14ac:dyDescent="0.3">
      <c r="B33" s="16" t="s">
        <v>65</v>
      </c>
      <c r="C33" s="13" t="s">
        <v>66</v>
      </c>
      <c r="D33" s="24" t="s">
        <v>67</v>
      </c>
      <c r="E33" s="15" t="s">
        <v>55</v>
      </c>
      <c r="F33" t="s">
        <v>94</v>
      </c>
    </row>
    <row r="34" spans="2:6" ht="181.5" x14ac:dyDescent="0.3">
      <c r="B34" s="16" t="s">
        <v>68</v>
      </c>
      <c r="C34" s="17" t="s">
        <v>69</v>
      </c>
      <c r="D34" s="18" t="s">
        <v>70</v>
      </c>
      <c r="E34" s="19" t="s">
        <v>71</v>
      </c>
    </row>
    <row r="35" spans="2:6" ht="112.5" customHeight="1" x14ac:dyDescent="0.3">
      <c r="B35" s="16" t="s">
        <v>72</v>
      </c>
      <c r="C35" s="13" t="s">
        <v>73</v>
      </c>
      <c r="D35" s="24" t="s">
        <v>74</v>
      </c>
      <c r="E35" s="15" t="s">
        <v>71</v>
      </c>
    </row>
    <row r="36" spans="2:6" ht="71.25" customHeight="1" x14ac:dyDescent="0.3">
      <c r="B36" s="16" t="s">
        <v>95</v>
      </c>
      <c r="C36" s="17" t="s">
        <v>75</v>
      </c>
      <c r="D36" s="18" t="s">
        <v>76</v>
      </c>
      <c r="E36" s="19" t="s">
        <v>77</v>
      </c>
    </row>
    <row r="37" spans="2:6" ht="71.25" customHeight="1" x14ac:dyDescent="0.3">
      <c r="B37" s="16" t="s">
        <v>78</v>
      </c>
      <c r="C37" s="13" t="s">
        <v>79</v>
      </c>
      <c r="D37" s="24" t="s">
        <v>80</v>
      </c>
      <c r="E37" s="15" t="s">
        <v>77</v>
      </c>
    </row>
    <row r="38" spans="2:6" ht="93" customHeight="1" x14ac:dyDescent="0.3">
      <c r="B38" s="16" t="s">
        <v>81</v>
      </c>
      <c r="C38" s="17" t="s">
        <v>82</v>
      </c>
      <c r="D38" s="18" t="s">
        <v>83</v>
      </c>
      <c r="E38" s="19" t="s">
        <v>77</v>
      </c>
    </row>
    <row r="39" spans="2:6" ht="91.5" customHeight="1" x14ac:dyDescent="0.3">
      <c r="B39" s="16" t="s">
        <v>84</v>
      </c>
      <c r="C39" s="13" t="s">
        <v>85</v>
      </c>
      <c r="D39" s="24" t="s">
        <v>86</v>
      </c>
      <c r="E39" s="15" t="s">
        <v>77</v>
      </c>
    </row>
    <row r="40" spans="2:6" ht="66" customHeight="1" x14ac:dyDescent="0.3">
      <c r="B40" s="16" t="s">
        <v>87</v>
      </c>
      <c r="C40" s="17" t="s">
        <v>88</v>
      </c>
      <c r="D40" s="18" t="s">
        <v>89</v>
      </c>
      <c r="E40" s="19" t="s">
        <v>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35B662B8EBEC48EF93E6C2975D2C1EEB.xlsx" Name="35B662B8EBEC48EF93E6C2975D2C1EEB.xlsx" Description="" FullName="C:\BIMATRIX\down\iGridDownload\35B662B8EBEC48EF93E6C2975D2C1EEB.xlsx" FolderCode="" LastModifyDate="0001-01-01 00:00:00" EnableCache="True" CacheOption="0" DocumentVersion="7.0.500.314" HidePrevSheetConditionControl="0" OpenByXLViewer="0">
  <Sheets>
    <Sheet Code="SH4792A872C38C4089" Name="V1" ConditionSheetCode="">
      <RefreshProperty IsActivateRefresh="False" OnActivate="" OnRefresh="" BeforeMacro="" AfterMacro="" Password=""/>
    </Sheet>
    <Sheet Code="SHEA7CB2E98B048FE8" Name="P1" ConditionSheetCode="">
      <RefreshProperty IsActivateRefresh="False" OnActivate="" OnRefresh="" BeforeMacro="" AfterMacro="" Password=""/>
    </Sheet>
    <Sheet Code="SHEB9769D8D65C6619" Name="D_기준환율" ConditionSheetCode="">
      <RefreshProperty IsActivateRefresh="False" OnActivate="" OnRefresh="" BeforeMacro="" AfterMacro="" Password=""/>
    </Sheet>
    <Sheet Code="SHFF23700F32F5473B" Name="D_환율" ConditionSheetCode="">
      <RefreshProperty IsActivateRefresh="False" OnActivate="" OnRefresh="" BeforeMacro="" AfterMacro="" Password=""/>
    </Sheet>
    <Sheet Code="SH68DF851AFE47589D" Name="D_매출" ConditionSheetCode="">
      <RefreshProperty IsActivateRefresh="False" OnActivate="" OnRefresh="" BeforeMacro="" AfterMacro="" Password=""/>
    </Sheet>
    <Sheet Code="SHC9B13F303495BFEF" Name="D_BEP" ConditionSheetCode="">
      <RefreshProperty IsActivateRefresh="False" OnActivate="" OnRefresh="" BeforeMacro="" AfterMacro="" Password=""/>
    </Sheet>
    <Sheet Code="SHD92A8D1F501903A1" Name="T_차트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x:Key="D_기준환율"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x:Key="Sheet1"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x:Key="D_환율"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x:Key="D_매출"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x:Key="D_BEP"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x:Key="T_차트"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A5A7A1FE-3173-44C6-B2D9-8B668D0130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V1</vt:lpstr>
      <vt:lpstr>T_차트</vt:lpstr>
      <vt:lpstr>D_BEP</vt:lpstr>
      <vt:lpstr>D_매출</vt:lpstr>
      <vt:lpstr>D_환율</vt:lpstr>
      <vt:lpstr>D_기준환율</vt:lpstr>
      <vt:lpstr>P1</vt:lpstr>
      <vt:lpstr>MX-GRID 사용 안내</vt:lpstr>
      <vt:lpstr>_D_DG1</vt:lpstr>
      <vt:lpstr>_IGNORE_SHEET_</vt:lpstr>
      <vt:lpstr>_VIEW_RANGE_1</vt:lpstr>
      <vt:lpstr>VS_DAY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2026-01-07T01:52:38Z</dcterms:modified>
</cp:coreProperties>
</file>